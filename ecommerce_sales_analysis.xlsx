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ashv\Downloads\"/>
    </mc:Choice>
  </mc:AlternateContent>
  <xr:revisionPtr revIDLastSave="0" documentId="8_{4B119E80-D5E0-4908-BE3A-CE1B37282F1E}" xr6:coauthVersionLast="47" xr6:coauthVersionMax="47" xr10:uidLastSave="{00000000-0000-0000-0000-000000000000}"/>
  <bookViews>
    <workbookView xWindow="-108" yWindow="-108" windowWidth="23256" windowHeight="12456" xr2:uid="{00000000-000D-0000-FFFF-FFFF00000000}"/>
  </bookViews>
  <sheets>
    <sheet name="ecommerce_sales" sheetId="13" r:id="rId1"/>
    <sheet name="Raw_Sales_Data" sheetId="1" r:id="rId2"/>
    <sheet name="Clean_Data" sheetId="2" r:id="rId3"/>
    <sheet name="Pivot_Category" sheetId="5" r:id="rId4"/>
    <sheet name="Pivot_Region_Segment" sheetId="6" r:id="rId5"/>
    <sheet name="Pivot_Monthly_Trend" sheetId="7" r:id="rId6"/>
    <sheet name="Pivot_Profit_Category" sheetId="8" r:id="rId7"/>
    <sheet name="Data_Dictionary" sheetId="3" r:id="rId8"/>
  </sheets>
  <definedNames>
    <definedName name="_xlnm._FilterDatabase" localSheetId="2" hidden="1">Clean_Data!$U$1:$Z$275</definedName>
    <definedName name="_xlnm._FilterDatabase" localSheetId="1" hidden="1">Raw_Sales_Data!$A$1:$R$275</definedName>
    <definedName name="Slicer_Category">#N/A</definedName>
    <definedName name="Slicer_Customer_Segment">#N/A</definedName>
    <definedName name="Slicer_Region">#N/A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Y3" i="2" l="1"/>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 i="2"/>
  <c r="AC11" i="2"/>
  <c r="AC10" i="2"/>
  <c r="AC9" i="2"/>
  <c r="AC8"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 i="2"/>
</calcChain>
</file>

<file path=xl/sharedStrings.xml><?xml version="1.0" encoding="utf-8"?>
<sst xmlns="http://schemas.openxmlformats.org/spreadsheetml/2006/main" count="6722" uniqueCount="700">
  <si>
    <t>Order_ID</t>
  </si>
  <si>
    <t>Order_Date</t>
  </si>
  <si>
    <t>Customer_ID</t>
  </si>
  <si>
    <t>Customer_Name</t>
  </si>
  <si>
    <t>Customer_Segment</t>
  </si>
  <si>
    <t>Region</t>
  </si>
  <si>
    <t>State</t>
  </si>
  <si>
    <t>City</t>
  </si>
  <si>
    <t>Category</t>
  </si>
  <si>
    <t>Sub_Category</t>
  </si>
  <si>
    <t>Product_Name</t>
  </si>
  <si>
    <t>Quantity</t>
  </si>
  <si>
    <t>Unit_Price</t>
  </si>
  <si>
    <t>Discount_%</t>
  </si>
  <si>
    <t>Sales_Amount</t>
  </si>
  <si>
    <t>Profit</t>
  </si>
  <si>
    <t>Shipping_Cost</t>
  </si>
  <si>
    <t>Ship_Mode</t>
  </si>
  <si>
    <t>ORD-1001</t>
  </si>
  <si>
    <t>2024-01-13</t>
  </si>
  <si>
    <t>CUST007</t>
  </si>
  <si>
    <t>Deepak Gupta</t>
  </si>
  <si>
    <t>Home Office</t>
  </si>
  <si>
    <t>South</t>
  </si>
  <si>
    <t>Karnataka</t>
  </si>
  <si>
    <t>Bengaluru</t>
  </si>
  <si>
    <t>Electronics</t>
  </si>
  <si>
    <t>Mobiles</t>
  </si>
  <si>
    <t>OnePlus 11</t>
  </si>
  <si>
    <t>Same Day</t>
  </si>
  <si>
    <t>ORD-1002</t>
  </si>
  <si>
    <t>2024-01-07</t>
  </si>
  <si>
    <t>CUST014</t>
  </si>
  <si>
    <t>Divya Chauhan</t>
  </si>
  <si>
    <t>Tamil Nadu</t>
  </si>
  <si>
    <t>Coimbatore</t>
  </si>
  <si>
    <t>Home &amp; Kitchen</t>
  </si>
  <si>
    <t>Furniture</t>
  </si>
  <si>
    <t>Study Table</t>
  </si>
  <si>
    <t>Standard Class</t>
  </si>
  <si>
    <t>ORD-1003</t>
  </si>
  <si>
    <t>2024-01-23</t>
  </si>
  <si>
    <t>CUST017</t>
  </si>
  <si>
    <t>Arjun Malhotra</t>
  </si>
  <si>
    <t>North</t>
  </si>
  <si>
    <t>Uttar Pradesh</t>
  </si>
  <si>
    <t>Agra</t>
  </si>
  <si>
    <t>Clothing</t>
  </si>
  <si>
    <t>Men</t>
  </si>
  <si>
    <t>Men Jacket</t>
  </si>
  <si>
    <t>ORD-1004</t>
  </si>
  <si>
    <t>2024-01-15</t>
  </si>
  <si>
    <t>Consumer</t>
  </si>
  <si>
    <t>West</t>
  </si>
  <si>
    <t>Maharashtra</t>
  </si>
  <si>
    <t>Pune</t>
  </si>
  <si>
    <t>Samsung S23</t>
  </si>
  <si>
    <t>Second Class</t>
  </si>
  <si>
    <t>ORD-1005</t>
  </si>
  <si>
    <t>2024-01-02</t>
  </si>
  <si>
    <t>CUST004</t>
  </si>
  <si>
    <t>Sneha Verma</t>
  </si>
  <si>
    <t>Madurai</t>
  </si>
  <si>
    <t>Men Shoes</t>
  </si>
  <si>
    <t>First Class</t>
  </si>
  <si>
    <t>ORD-1006</t>
  </si>
  <si>
    <t>2024-01-05</t>
  </si>
  <si>
    <t>Corporate</t>
  </si>
  <si>
    <t>Mangaluru</t>
  </si>
  <si>
    <t>Laptops</t>
  </si>
  <si>
    <t>Lenovo IdeaPad</t>
  </si>
  <si>
    <t>ORD-1007</t>
  </si>
  <si>
    <t>CUST005</t>
  </si>
  <si>
    <t>Amit Singh</t>
  </si>
  <si>
    <t>Telangana</t>
  </si>
  <si>
    <t>Warangal</t>
  </si>
  <si>
    <t>iPhone 14</t>
  </si>
  <si>
    <t>ORD-1008</t>
  </si>
  <si>
    <t>CUST018</t>
  </si>
  <si>
    <t>Riya Kapoor</t>
  </si>
  <si>
    <t>HP Pavilion</t>
  </si>
  <si>
    <t>ORD-1009</t>
  </si>
  <si>
    <t>2024-01-11</t>
  </si>
  <si>
    <t>Gujarat</t>
  </si>
  <si>
    <t>Surat</t>
  </si>
  <si>
    <t>Women</t>
  </si>
  <si>
    <t>Women Saree</t>
  </si>
  <si>
    <t>ORD-1010</t>
  </si>
  <si>
    <t>2024-01-24</t>
  </si>
  <si>
    <t>CUST013</t>
  </si>
  <si>
    <t>Sanjay Yadav</t>
  </si>
  <si>
    <t>Accessories</t>
  </si>
  <si>
    <t>Power Bank</t>
  </si>
  <si>
    <t>ORD-1011</t>
  </si>
  <si>
    <t>CUST010</t>
  </si>
  <si>
    <t>Pooja Reddy</t>
  </si>
  <si>
    <t>Kanpur</t>
  </si>
  <si>
    <t>Men Kurta</t>
  </si>
  <si>
    <t>ORD-1012</t>
  </si>
  <si>
    <t>2024-01-09</t>
  </si>
  <si>
    <t>Rajasthan</t>
  </si>
  <si>
    <t>Jaipur</t>
  </si>
  <si>
    <t>Women Blazer</t>
  </si>
  <si>
    <t>ORD-1013</t>
  </si>
  <si>
    <t>CUST012</t>
  </si>
  <si>
    <t>Meera Iyer</t>
  </si>
  <si>
    <t>East</t>
  </si>
  <si>
    <t>Bihar</t>
  </si>
  <si>
    <t>Gaya</t>
  </si>
  <si>
    <t>Smartwatch</t>
  </si>
  <si>
    <t>ORD-1014</t>
  </si>
  <si>
    <t>2024-01-14</t>
  </si>
  <si>
    <t>Mumbai</t>
  </si>
  <si>
    <t>Decor</t>
  </si>
  <si>
    <t>Photo Frame</t>
  </si>
  <si>
    <t>ORD-1015</t>
  </si>
  <si>
    <t>2024-01-17</t>
  </si>
  <si>
    <t>CUST015</t>
  </si>
  <si>
    <t>Nikhil Bose</t>
  </si>
  <si>
    <t>Kids</t>
  </si>
  <si>
    <t>Kids Jacket</t>
  </si>
  <si>
    <t>ORD-1016</t>
  </si>
  <si>
    <t>CUST024</t>
  </si>
  <si>
    <t>Nisha Tiwari</t>
  </si>
  <si>
    <t>Lucknow</t>
  </si>
  <si>
    <t>Office Chair</t>
  </si>
  <si>
    <t>ORD-1017</t>
  </si>
  <si>
    <t>CUST025</t>
  </si>
  <si>
    <t>Aditya Bhatt</t>
  </si>
  <si>
    <t>Ahmedabad</t>
  </si>
  <si>
    <t>ORD-1018</t>
  </si>
  <si>
    <t>MacBook Air</t>
  </si>
  <si>
    <t>ORD-1019</t>
  </si>
  <si>
    <t>2024-01-19</t>
  </si>
  <si>
    <t>CUST021</t>
  </si>
  <si>
    <t>Karan Oberoi</t>
  </si>
  <si>
    <t>Asus VivoBook</t>
  </si>
  <si>
    <t>ORD-1020</t>
  </si>
  <si>
    <t>2024-01-21</t>
  </si>
  <si>
    <t>Patna</t>
  </si>
  <si>
    <t>Appliances</t>
  </si>
  <si>
    <t>Toaster</t>
  </si>
  <si>
    <t>ORD-1021</t>
  </si>
  <si>
    <t>CUST002</t>
  </si>
  <si>
    <t>Priya Patel</t>
  </si>
  <si>
    <t>Dell Inspiron</t>
  </si>
  <si>
    <t>ORD-1022</t>
  </si>
  <si>
    <t>CUST009</t>
  </si>
  <si>
    <t>Vikram Joshi</t>
  </si>
  <si>
    <t>West Bengal</t>
  </si>
  <si>
    <t>Siliguri</t>
  </si>
  <si>
    <t>ORD-1023</t>
  </si>
  <si>
    <t>Hyderabad</t>
  </si>
  <si>
    <t>USB Hub</t>
  </si>
  <si>
    <t>ORD-1024</t>
  </si>
  <si>
    <t>ORD-1025</t>
  </si>
  <si>
    <t>2024-02-13</t>
  </si>
  <si>
    <t>CUST022</t>
  </si>
  <si>
    <t>Shruti Agarwal</t>
  </si>
  <si>
    <t>Wall Clock</t>
  </si>
  <si>
    <t>ORD-1026</t>
  </si>
  <si>
    <t>2024-02-11</t>
  </si>
  <si>
    <t>CUST019</t>
  </si>
  <si>
    <t>Manoj Das</t>
  </si>
  <si>
    <t>ORD-1027</t>
  </si>
  <si>
    <t>2024-02-14</t>
  </si>
  <si>
    <t>CUST003</t>
  </si>
  <si>
    <t>Rohit Kumar</t>
  </si>
  <si>
    <t>Electric Kettle</t>
  </si>
  <si>
    <t>ORD-1028</t>
  </si>
  <si>
    <t>2024-02-20</t>
  </si>
  <si>
    <t>CUST008</t>
  </si>
  <si>
    <t>Anita Mehta</t>
  </si>
  <si>
    <t>Kids Shoes</t>
  </si>
  <si>
    <t>ORD-1029</t>
  </si>
  <si>
    <t>2024-02-17</t>
  </si>
  <si>
    <t>ORD-1030</t>
  </si>
  <si>
    <t>2024-02-05</t>
  </si>
  <si>
    <t>CUST006</t>
  </si>
  <si>
    <t>Kavya Nair</t>
  </si>
  <si>
    <t>Asansol</t>
  </si>
  <si>
    <t>ORD-1031</t>
  </si>
  <si>
    <t>2024-02-15</t>
  </si>
  <si>
    <t>ORD-1032</t>
  </si>
  <si>
    <t>2024-02-07</t>
  </si>
  <si>
    <t>CUST023</t>
  </si>
  <si>
    <t>Ravi Shankar</t>
  </si>
  <si>
    <t>Redmi Note 12</t>
  </si>
  <si>
    <t>ORD-1033</t>
  </si>
  <si>
    <t>2024-02-08</t>
  </si>
  <si>
    <t>ORD-1034</t>
  </si>
  <si>
    <t>2024-02-16</t>
  </si>
  <si>
    <t>Delhi</t>
  </si>
  <si>
    <t>Dwarka</t>
  </si>
  <si>
    <t>ORD-1035</t>
  </si>
  <si>
    <t>2024-02-01</t>
  </si>
  <si>
    <t>Men Jeans</t>
  </si>
  <si>
    <t>ORD-1036</t>
  </si>
  <si>
    <t>Noida</t>
  </si>
  <si>
    <t>Wireless Earbuds</t>
  </si>
  <si>
    <t>ORD-1037</t>
  </si>
  <si>
    <t>New Delhi</t>
  </si>
  <si>
    <t>ORD-1038</t>
  </si>
  <si>
    <t>Nagpur</t>
  </si>
  <si>
    <t>ORD-1039</t>
  </si>
  <si>
    <t>ORD-1040</t>
  </si>
  <si>
    <t>CUST020</t>
  </si>
  <si>
    <t>Geeta Mishra</t>
  </si>
  <si>
    <t>Kids T-Shirt</t>
  </si>
  <si>
    <t>ORD-1041</t>
  </si>
  <si>
    <t>2024-02-24</t>
  </si>
  <si>
    <t>CUST001</t>
  </si>
  <si>
    <t>Aarav Sharma</t>
  </si>
  <si>
    <t>Jodhpur</t>
  </si>
  <si>
    <t>ORD-1042</t>
  </si>
  <si>
    <t>2024-02-10</t>
  </si>
  <si>
    <t>Punjab</t>
  </si>
  <si>
    <t>Ludhiana</t>
  </si>
  <si>
    <t>ORD-1043</t>
  </si>
  <si>
    <t>2024-02-21</t>
  </si>
  <si>
    <t>Table Lamp</t>
  </si>
  <si>
    <t>ORD-1044</t>
  </si>
  <si>
    <t>2024-02-22</t>
  </si>
  <si>
    <t>ORD-1045</t>
  </si>
  <si>
    <t>2024-02-25</t>
  </si>
  <si>
    <t>ORD-1046</t>
  </si>
  <si>
    <t>2024-03-16</t>
  </si>
  <si>
    <t>ORD-1047</t>
  </si>
  <si>
    <t>2024-03-10</t>
  </si>
  <si>
    <t>Bed Frame</t>
  </si>
  <si>
    <t>ORD-1048</t>
  </si>
  <si>
    <t>2024-03-26</t>
  </si>
  <si>
    <t>ORD-1049</t>
  </si>
  <si>
    <t>2024-03-07</t>
  </si>
  <si>
    <t>Kolkata</t>
  </si>
  <si>
    <t>ORD-1050</t>
  </si>
  <si>
    <t>2024-03-03</t>
  </si>
  <si>
    <t>ORD-1051</t>
  </si>
  <si>
    <t>2024-03-18</t>
  </si>
  <si>
    <t>Chennai</t>
  </si>
  <si>
    <t>ORD-1052</t>
  </si>
  <si>
    <t>2024-03-23</t>
  </si>
  <si>
    <t>CUST016</t>
  </si>
  <si>
    <t>Sunita Pandey</t>
  </si>
  <si>
    <t>ORD-1053</t>
  </si>
  <si>
    <t>2024-03-05</t>
  </si>
  <si>
    <t>Cushion Set</t>
  </si>
  <si>
    <t>ORD-1054</t>
  </si>
  <si>
    <t>2024-03-24</t>
  </si>
  <si>
    <t>ORD-1055</t>
  </si>
  <si>
    <t>2024-03-28</t>
  </si>
  <si>
    <t>Vadodara</t>
  </si>
  <si>
    <t>ORD-1056</t>
  </si>
  <si>
    <t>2024-03-09</t>
  </si>
  <si>
    <t>Kids Jeans</t>
  </si>
  <si>
    <t>ORD-1057</t>
  </si>
  <si>
    <t>2024-03-14</t>
  </si>
  <si>
    <t>ORD-1058</t>
  </si>
  <si>
    <t>ORD-1059</t>
  </si>
  <si>
    <t>2024-03-25</t>
  </si>
  <si>
    <t>ORD-1060</t>
  </si>
  <si>
    <t>2024-03-01</t>
  </si>
  <si>
    <t>Curtains</t>
  </si>
  <si>
    <t>ORD-1061</t>
  </si>
  <si>
    <t>2024-03-20</t>
  </si>
  <si>
    <t>ORD-1062</t>
  </si>
  <si>
    <t>Amritsar</t>
  </si>
  <si>
    <t>ORD-1063</t>
  </si>
  <si>
    <t>ORD-1064</t>
  </si>
  <si>
    <t>ORD-1065</t>
  </si>
  <si>
    <t>2024-03-06</t>
  </si>
  <si>
    <t>Rohini</t>
  </si>
  <si>
    <t>ORD-1066</t>
  </si>
  <si>
    <t>2024-03-12</t>
  </si>
  <si>
    <t>Women Shoes</t>
  </si>
  <si>
    <t>ORD-1067</t>
  </si>
  <si>
    <t>ORD-1068</t>
  </si>
  <si>
    <t>2024-04-11</t>
  </si>
  <si>
    <t>CUST011</t>
  </si>
  <si>
    <t>Rahul Tiwari</t>
  </si>
  <si>
    <t>Sofa</t>
  </si>
  <si>
    <t>ORD-1069</t>
  </si>
  <si>
    <t>ORD-1070</t>
  </si>
  <si>
    <t>2024-04-17</t>
  </si>
  <si>
    <t>Women Kurti</t>
  </si>
  <si>
    <t>ORD-1071</t>
  </si>
  <si>
    <t>2024-04-16</t>
  </si>
  <si>
    <t>Induction Cooktop</t>
  </si>
  <si>
    <t>ORD-1072</t>
  </si>
  <si>
    <t>Women Dress</t>
  </si>
  <si>
    <t>ORD-1073</t>
  </si>
  <si>
    <t>2024-04-24</t>
  </si>
  <si>
    <t>ORD-1074</t>
  </si>
  <si>
    <t>2024-04-25</t>
  </si>
  <si>
    <t>ORD-1075</t>
  </si>
  <si>
    <t>ORD-1076</t>
  </si>
  <si>
    <t>2024-04-04</t>
  </si>
  <si>
    <t>ORD-1077</t>
  </si>
  <si>
    <t>2024-04-26</t>
  </si>
  <si>
    <t>ORD-1078</t>
  </si>
  <si>
    <t>2024-04-14</t>
  </si>
  <si>
    <t>ORD-1079</t>
  </si>
  <si>
    <t>2024-04-13</t>
  </si>
  <si>
    <t>ORD-1080</t>
  </si>
  <si>
    <t>2024-04-12</t>
  </si>
  <si>
    <t>ORD-1081</t>
  </si>
  <si>
    <t>Odisha</t>
  </si>
  <si>
    <t>Bhubaneswar</t>
  </si>
  <si>
    <t>Bluetooth Speaker</t>
  </si>
  <si>
    <t>ORD-1082</t>
  </si>
  <si>
    <t>School Bag</t>
  </si>
  <si>
    <t>ORD-1083</t>
  </si>
  <si>
    <t>ORD-1084</t>
  </si>
  <si>
    <t>2024-04-07</t>
  </si>
  <si>
    <t>ORD-1085</t>
  </si>
  <si>
    <t>2024-04-15</t>
  </si>
  <si>
    <t>Chandigarh</t>
  </si>
  <si>
    <t>ORD-1086</t>
  </si>
  <si>
    <t>2024-04-03</t>
  </si>
  <si>
    <t>ORD-1087</t>
  </si>
  <si>
    <t>ORD-1088</t>
  </si>
  <si>
    <t>ORD-1089</t>
  </si>
  <si>
    <t>2024-04-20</t>
  </si>
  <si>
    <t>ORD-1090</t>
  </si>
  <si>
    <t>ORD-1091</t>
  </si>
  <si>
    <t>2024-04-22</t>
  </si>
  <si>
    <t>ORD-1092</t>
  </si>
  <si>
    <t>2024-04-18</t>
  </si>
  <si>
    <t>ORD-1093</t>
  </si>
  <si>
    <t>ORD-1094</t>
  </si>
  <si>
    <t>2024-05-05</t>
  </si>
  <si>
    <t>ORD-1095</t>
  </si>
  <si>
    <t>2024-05-08</t>
  </si>
  <si>
    <t>ORD-1096</t>
  </si>
  <si>
    <t>2024-05-07</t>
  </si>
  <si>
    <t>ORD-1097</t>
  </si>
  <si>
    <t>2024-05-18</t>
  </si>
  <si>
    <t>Air Fryer</t>
  </si>
  <si>
    <t>ORD-1098</t>
  </si>
  <si>
    <t>2024-05-04</t>
  </si>
  <si>
    <t>ORD-1099</t>
  </si>
  <si>
    <t>ORD-1100</t>
  </si>
  <si>
    <t>2024-05-26</t>
  </si>
  <si>
    <t>ORD-1101</t>
  </si>
  <si>
    <t>2024-05-03</t>
  </si>
  <si>
    <t>ORD-1102</t>
  </si>
  <si>
    <t>ORD-1103</t>
  </si>
  <si>
    <t>2024-05-19</t>
  </si>
  <si>
    <t>ORD-1104</t>
  </si>
  <si>
    <t>2024-05-23</t>
  </si>
  <si>
    <t>ORD-1105</t>
  </si>
  <si>
    <t>Mysuru</t>
  </si>
  <si>
    <t>ORD-1106</t>
  </si>
  <si>
    <t>2024-05-06</t>
  </si>
  <si>
    <t>ORD-1107</t>
  </si>
  <si>
    <t>2024-05-25</t>
  </si>
  <si>
    <t>ORD-1108</t>
  </si>
  <si>
    <t>2024-05-10</t>
  </si>
  <si>
    <t>Vivo V27</t>
  </si>
  <si>
    <t>ORD-1109</t>
  </si>
  <si>
    <t>2024-05-17</t>
  </si>
  <si>
    <t>ORD-1110</t>
  </si>
  <si>
    <t>ORD-1111</t>
  </si>
  <si>
    <t>2024-05-11</t>
  </si>
  <si>
    <t>ORD-1112</t>
  </si>
  <si>
    <t>2024-05-21</t>
  </si>
  <si>
    <t>Cuttack</t>
  </si>
  <si>
    <t>ORD-1113</t>
  </si>
  <si>
    <t>ORD-1114</t>
  </si>
  <si>
    <t>ORD-1115</t>
  </si>
  <si>
    <t>ORD-1116</t>
  </si>
  <si>
    <t>Bookshelf</t>
  </si>
  <si>
    <t>ORD-1117</t>
  </si>
  <si>
    <t>2024-06-27</t>
  </si>
  <si>
    <t>ORD-1118</t>
  </si>
  <si>
    <t>2024-06-25</t>
  </si>
  <si>
    <t>ORD-1119</t>
  </si>
  <si>
    <t>2024-06-19</t>
  </si>
  <si>
    <t>ORD-1120</t>
  </si>
  <si>
    <t>2024-06-01</t>
  </si>
  <si>
    <t>ORD-1121</t>
  </si>
  <si>
    <t>ORD-1122</t>
  </si>
  <si>
    <t>2024-06-14</t>
  </si>
  <si>
    <t>ORD-1123</t>
  </si>
  <si>
    <t>2024-06-11</t>
  </si>
  <si>
    <t>ORD-1124</t>
  </si>
  <si>
    <t>ORD-1125</t>
  </si>
  <si>
    <t>ORD-1126</t>
  </si>
  <si>
    <t>2024-06-28</t>
  </si>
  <si>
    <t>ORD-1127</t>
  </si>
  <si>
    <t>2024-06-10</t>
  </si>
  <si>
    <t>ORD-1128</t>
  </si>
  <si>
    <t>2024-06-18</t>
  </si>
  <si>
    <t>ORD-1129</t>
  </si>
  <si>
    <t>2024-06-23</t>
  </si>
  <si>
    <t>ORD-1130</t>
  </si>
  <si>
    <t>ORD-1131</t>
  </si>
  <si>
    <t>2024-06-17</t>
  </si>
  <si>
    <t>ORD-1132</t>
  </si>
  <si>
    <t>ORD-1133</t>
  </si>
  <si>
    <t>2024-06-16</t>
  </si>
  <si>
    <t>ORD-1134</t>
  </si>
  <si>
    <t>ORD-1135</t>
  </si>
  <si>
    <t>2024-06-02</t>
  </si>
  <si>
    <t>Mixer Grinder</t>
  </si>
  <si>
    <t>ORD-1136</t>
  </si>
  <si>
    <t>2024-06-15</t>
  </si>
  <si>
    <t>Men Shirt</t>
  </si>
  <si>
    <t>ORD-1137</t>
  </si>
  <si>
    <t>2024-07-07</t>
  </si>
  <si>
    <t>ORD-1138</t>
  </si>
  <si>
    <t>2024-07-12</t>
  </si>
  <si>
    <t>ORD-1139</t>
  </si>
  <si>
    <t>2024-07-26</t>
  </si>
  <si>
    <t>ORD-1140</t>
  </si>
  <si>
    <t>ORD-1141</t>
  </si>
  <si>
    <t>2024-07-10</t>
  </si>
  <si>
    <t>ORD-1142</t>
  </si>
  <si>
    <t>2024-07-16</t>
  </si>
  <si>
    <t>ORD-1143</t>
  </si>
  <si>
    <t>2024-07-18</t>
  </si>
  <si>
    <t>ORD-1144</t>
  </si>
  <si>
    <t>ORD-1145</t>
  </si>
  <si>
    <t>2024-07-01</t>
  </si>
  <si>
    <t>ORD-1146</t>
  </si>
  <si>
    <t>2024-07-09</t>
  </si>
  <si>
    <t>ORD-1147</t>
  </si>
  <si>
    <t>ORD-1148</t>
  </si>
  <si>
    <t>2024-07-04</t>
  </si>
  <si>
    <t>ORD-1149</t>
  </si>
  <si>
    <t>2024-07-17</t>
  </si>
  <si>
    <t>ORD-1150</t>
  </si>
  <si>
    <t>2024-07-15</t>
  </si>
  <si>
    <t>ORD-1151</t>
  </si>
  <si>
    <t>ORD-1152</t>
  </si>
  <si>
    <t>2024-07-28</t>
  </si>
  <si>
    <t>ORD-1153</t>
  </si>
  <si>
    <t>2024-07-06</t>
  </si>
  <si>
    <t>ORD-1154</t>
  </si>
  <si>
    <t>ORD-1155</t>
  </si>
  <si>
    <t>2024-07-25</t>
  </si>
  <si>
    <t>ORD-1156</t>
  </si>
  <si>
    <t>ORD-1157</t>
  </si>
  <si>
    <t>2024-07-24</t>
  </si>
  <si>
    <t>ORD-1158</t>
  </si>
  <si>
    <t>2024-07-03</t>
  </si>
  <si>
    <t>ORD-1159</t>
  </si>
  <si>
    <t>2024-07-13</t>
  </si>
  <si>
    <t>ORD-1160</t>
  </si>
  <si>
    <t>2024-08-22</t>
  </si>
  <si>
    <t>ORD-1161</t>
  </si>
  <si>
    <t>2024-08-26</t>
  </si>
  <si>
    <t>ORD-1162</t>
  </si>
  <si>
    <t>2024-08-03</t>
  </si>
  <si>
    <t>ORD-1163</t>
  </si>
  <si>
    <t>ORD-1164</t>
  </si>
  <si>
    <t>2024-08-17</t>
  </si>
  <si>
    <t>ORD-1165</t>
  </si>
  <si>
    <t>2024-08-12</t>
  </si>
  <si>
    <t>ORD-1166</t>
  </si>
  <si>
    <t>ORD-1167</t>
  </si>
  <si>
    <t>2024-08-21</t>
  </si>
  <si>
    <t>ORD-1168</t>
  </si>
  <si>
    <t>2024-08-19</t>
  </si>
  <si>
    <t>ORD-1169</t>
  </si>
  <si>
    <t>2024-08-16</t>
  </si>
  <si>
    <t>ORD-1170</t>
  </si>
  <si>
    <t>2024-08-05</t>
  </si>
  <si>
    <t>ORD-1171</t>
  </si>
  <si>
    <t>2024-08-10</t>
  </si>
  <si>
    <t>ORD-1172</t>
  </si>
  <si>
    <t>ORD-1173</t>
  </si>
  <si>
    <t>2024-08-23</t>
  </si>
  <si>
    <t>ORD-1174</t>
  </si>
  <si>
    <t>2024-08-11</t>
  </si>
  <si>
    <t>ORD-1175</t>
  </si>
  <si>
    <t>ORD-1176</t>
  </si>
  <si>
    <t>ORD-1177</t>
  </si>
  <si>
    <t>ORD-1178</t>
  </si>
  <si>
    <t>ORD-1179</t>
  </si>
  <si>
    <t>2024-08-25</t>
  </si>
  <si>
    <t>ORD-1180</t>
  </si>
  <si>
    <t>ORD-1181</t>
  </si>
  <si>
    <t>ORD-1182</t>
  </si>
  <si>
    <t>ORD-1183</t>
  </si>
  <si>
    <t>2024-08-18</t>
  </si>
  <si>
    <t>ORD-1184</t>
  </si>
  <si>
    <t>2024-08-27</t>
  </si>
  <si>
    <t>ORD-1185</t>
  </si>
  <si>
    <t>2024-08-09</t>
  </si>
  <si>
    <t>ORD-1186</t>
  </si>
  <si>
    <t>ORD-1187</t>
  </si>
  <si>
    <t>2024-09-23</t>
  </si>
  <si>
    <t>ORD-1188</t>
  </si>
  <si>
    <t>2024-09-05</t>
  </si>
  <si>
    <t>ORD-1189</t>
  </si>
  <si>
    <t>2024-09-15</t>
  </si>
  <si>
    <t>ORD-1190</t>
  </si>
  <si>
    <t>2024-09-10</t>
  </si>
  <si>
    <t>ORD-1191</t>
  </si>
  <si>
    <t>2024-09-07</t>
  </si>
  <si>
    <t>ORD-1192</t>
  </si>
  <si>
    <t>ORD-1193</t>
  </si>
  <si>
    <t>2024-09-08</t>
  </si>
  <si>
    <t>ORD-1194</t>
  </si>
  <si>
    <t>ORD-1195</t>
  </si>
  <si>
    <t>2024-09-04</t>
  </si>
  <si>
    <t>ORD-1196</t>
  </si>
  <si>
    <t>2024-09-26</t>
  </si>
  <si>
    <t>ORD-1197</t>
  </si>
  <si>
    <t>2024-09-19</t>
  </si>
  <si>
    <t>ORD-1198</t>
  </si>
  <si>
    <t>ORD-1199</t>
  </si>
  <si>
    <t>ORD-1200</t>
  </si>
  <si>
    <t>ORD-1201</t>
  </si>
  <si>
    <t>2024-09-25</t>
  </si>
  <si>
    <t>ORD-1202</t>
  </si>
  <si>
    <t>2024-09-16</t>
  </si>
  <si>
    <t>ORD-1203</t>
  </si>
  <si>
    <t>2024-09-18</t>
  </si>
  <si>
    <t>ORD-1204</t>
  </si>
  <si>
    <t>2024-09-01</t>
  </si>
  <si>
    <t>ORD-1205</t>
  </si>
  <si>
    <t>ORD-1206</t>
  </si>
  <si>
    <t>ORD-1207</t>
  </si>
  <si>
    <t>2024-09-06</t>
  </si>
  <si>
    <t>ORD-1208</t>
  </si>
  <si>
    <t>2024-10-11</t>
  </si>
  <si>
    <t>ORD-1209</t>
  </si>
  <si>
    <t>2024-10-06</t>
  </si>
  <si>
    <t>ORD-1210</t>
  </si>
  <si>
    <t>2024-10-17</t>
  </si>
  <si>
    <t>ORD-1211</t>
  </si>
  <si>
    <t>2024-10-22</t>
  </si>
  <si>
    <t>ORD-1212</t>
  </si>
  <si>
    <t>2024-10-07</t>
  </si>
  <si>
    <t>ORD-1213</t>
  </si>
  <si>
    <t>2024-10-10</t>
  </si>
  <si>
    <t>ORD-1214</t>
  </si>
  <si>
    <t>2024-10-02</t>
  </si>
  <si>
    <t>ORD-1215</t>
  </si>
  <si>
    <t>2024-10-01</t>
  </si>
  <si>
    <t>ORD-1216</t>
  </si>
  <si>
    <t>2024-10-16</t>
  </si>
  <si>
    <t>ORD-1217</t>
  </si>
  <si>
    <t>ORD-1218</t>
  </si>
  <si>
    <t>ORD-1219</t>
  </si>
  <si>
    <t>2024-10-20</t>
  </si>
  <si>
    <t>ORD-1220</t>
  </si>
  <si>
    <t>2024-10-23</t>
  </si>
  <si>
    <t>ORD-1221</t>
  </si>
  <si>
    <t>2024-10-08</t>
  </si>
  <si>
    <t>ORD-1222</t>
  </si>
  <si>
    <t>2024-10-15</t>
  </si>
  <si>
    <t>ORD-1223</t>
  </si>
  <si>
    <t>2024-10-04</t>
  </si>
  <si>
    <t>ORD-1224</t>
  </si>
  <si>
    <t>ORD-1225</t>
  </si>
  <si>
    <t>ORD-1226</t>
  </si>
  <si>
    <t>ORD-1227</t>
  </si>
  <si>
    <t>ORD-1228</t>
  </si>
  <si>
    <t>2024-10-27</t>
  </si>
  <si>
    <t>ORD-1229</t>
  </si>
  <si>
    <t>2024-10-19</t>
  </si>
  <si>
    <t>ORD-1230</t>
  </si>
  <si>
    <t>2024-10-26</t>
  </si>
  <si>
    <t>ORD-1231</t>
  </si>
  <si>
    <t>2024-11-02</t>
  </si>
  <si>
    <t>ORD-1232</t>
  </si>
  <si>
    <t>2024-11-17</t>
  </si>
  <si>
    <t>ORD-1233</t>
  </si>
  <si>
    <t>2024-11-05</t>
  </si>
  <si>
    <t>ORD-1234</t>
  </si>
  <si>
    <t>2024-11-15</t>
  </si>
  <si>
    <t>ORD-1235</t>
  </si>
  <si>
    <t>2024-11-08</t>
  </si>
  <si>
    <t>ORD-1236</t>
  </si>
  <si>
    <t>2024-11-24</t>
  </si>
  <si>
    <t>ORD-1237</t>
  </si>
  <si>
    <t>ORD-1238</t>
  </si>
  <si>
    <t>ORD-1239</t>
  </si>
  <si>
    <t>2024-11-07</t>
  </si>
  <si>
    <t>ORD-1240</t>
  </si>
  <si>
    <t>2024-11-09</t>
  </si>
  <si>
    <t>ORD-1241</t>
  </si>
  <si>
    <t>ORD-1242</t>
  </si>
  <si>
    <t>ORD-1243</t>
  </si>
  <si>
    <t>2024-11-27</t>
  </si>
  <si>
    <t>ORD-1244</t>
  </si>
  <si>
    <t>ORD-1245</t>
  </si>
  <si>
    <t>ORD-1246</t>
  </si>
  <si>
    <t>2024-11-12</t>
  </si>
  <si>
    <t>ORD-1247</t>
  </si>
  <si>
    <t>ORD-1248</t>
  </si>
  <si>
    <t>2024-11-19</t>
  </si>
  <si>
    <t>ORD-1249</t>
  </si>
  <si>
    <t>2024-11-10</t>
  </si>
  <si>
    <t>ORD-1250</t>
  </si>
  <si>
    <t>ORD-1251</t>
  </si>
  <si>
    <t>2024-11-04</t>
  </si>
  <si>
    <t>ORD-1252</t>
  </si>
  <si>
    <t>ORD-1253</t>
  </si>
  <si>
    <t>2024-12-03</t>
  </si>
  <si>
    <t>ORD-1254</t>
  </si>
  <si>
    <t>2024-12-02</t>
  </si>
  <si>
    <t>ORD-1255</t>
  </si>
  <si>
    <t>ORD-1256</t>
  </si>
  <si>
    <t>ORD-1257</t>
  </si>
  <si>
    <t>2024-12-23</t>
  </si>
  <si>
    <t>ORD-1258</t>
  </si>
  <si>
    <t>2024-12-07</t>
  </si>
  <si>
    <t>ORD-1259</t>
  </si>
  <si>
    <t>2024-12-28</t>
  </si>
  <si>
    <t>ORD-1260</t>
  </si>
  <si>
    <t>2024-12-11</t>
  </si>
  <si>
    <t>ORD-1261</t>
  </si>
  <si>
    <t>ORD-1262</t>
  </si>
  <si>
    <t>2024-12-18</t>
  </si>
  <si>
    <t>ORD-1263</t>
  </si>
  <si>
    <t>ORD-1264</t>
  </si>
  <si>
    <t>2024-12-16</t>
  </si>
  <si>
    <t>ORD-1265</t>
  </si>
  <si>
    <t>2024-12-25</t>
  </si>
  <si>
    <t>ORD-1266</t>
  </si>
  <si>
    <t>2024-12-19</t>
  </si>
  <si>
    <t>ORD-1267</t>
  </si>
  <si>
    <t>2024-12-12</t>
  </si>
  <si>
    <t>ORD-1268</t>
  </si>
  <si>
    <t>2024-12-01</t>
  </si>
  <si>
    <t>ORD-1269</t>
  </si>
  <si>
    <t>ORD-1270</t>
  </si>
  <si>
    <t>2024-12-06</t>
  </si>
  <si>
    <t>ORD-1271</t>
  </si>
  <si>
    <t>ORD-1272</t>
  </si>
  <si>
    <t>ORD-1273</t>
  </si>
  <si>
    <t>ORD-1274</t>
  </si>
  <si>
    <t>2024-12-05</t>
  </si>
  <si>
    <t>Column Name</t>
  </si>
  <si>
    <t>Description</t>
  </si>
  <si>
    <t>Unique order number</t>
  </si>
  <si>
    <t>Date when order was placed</t>
  </si>
  <si>
    <t>Unique customer identifier</t>
  </si>
  <si>
    <t>Name of customer</t>
  </si>
  <si>
    <t>Consumer, Corporate, Home Office</t>
  </si>
  <si>
    <t>Region of customer</t>
  </si>
  <si>
    <t>State of customer</t>
  </si>
  <si>
    <t>City of customer</t>
  </si>
  <si>
    <t>Product category</t>
  </si>
  <si>
    <t>Product sub-category</t>
  </si>
  <si>
    <t>Product name</t>
  </si>
  <si>
    <t>Number of units sold</t>
  </si>
  <si>
    <t>Price per unit</t>
  </si>
  <si>
    <t>Discount applied</t>
  </si>
  <si>
    <t>Final sales amount</t>
  </si>
  <si>
    <t>Profit earned</t>
  </si>
  <si>
    <t>Shipping cost</t>
  </si>
  <si>
    <t>Delivery mode</t>
  </si>
  <si>
    <t>Total Rows: 274</t>
  </si>
  <si>
    <t>Total Columns: 18</t>
  </si>
  <si>
    <t xml:space="preserve"> Discount</t>
  </si>
  <si>
    <t>Revenue_Check</t>
  </si>
  <si>
    <t>Profit_Margin</t>
  </si>
  <si>
    <t>Order_Tag</t>
  </si>
  <si>
    <t>Discount_Band</t>
  </si>
  <si>
    <t>Month</t>
  </si>
  <si>
    <t>Year</t>
  </si>
  <si>
    <t>Row Labels</t>
  </si>
  <si>
    <t>Grand Total</t>
  </si>
  <si>
    <t>Sum of Sales_Amount</t>
  </si>
  <si>
    <t>Sum of Profit</t>
  </si>
  <si>
    <t>Top Category by Sales: ______</t>
  </si>
  <si>
    <t>Top Category by Profit: ______</t>
  </si>
  <si>
    <t>Column Labels</t>
  </si>
  <si>
    <t>Insight</t>
  </si>
  <si>
    <t>Value</t>
  </si>
  <si>
    <t>Highest Sales Region</t>
  </si>
  <si>
    <t>Lowest Sales Region</t>
  </si>
  <si>
    <t>Best Customer Segment</t>
  </si>
  <si>
    <t>Weakest Customer Segment</t>
  </si>
  <si>
    <t>Apr-2024</t>
  </si>
  <si>
    <t>Aug-2024</t>
  </si>
  <si>
    <t>Dec-2024</t>
  </si>
  <si>
    <t>Feb-2024</t>
  </si>
  <si>
    <t>Jan-2024</t>
  </si>
  <si>
    <t>Jul-2024</t>
  </si>
  <si>
    <t>Jun-2024</t>
  </si>
  <si>
    <t>Mar-2024</t>
  </si>
  <si>
    <t>May-2024</t>
  </si>
  <si>
    <t>Nov-2024</t>
  </si>
  <si>
    <t>Oct-2024</t>
  </si>
  <si>
    <t>Sep-2024</t>
  </si>
  <si>
    <t>Which category is most profitable?</t>
  </si>
  <si>
    <t>E-COMMERCE SALES ANALYSIS DASHBOARD</t>
  </si>
  <si>
    <t>Total Orders</t>
  </si>
  <si>
    <t>Total Sales</t>
  </si>
  <si>
    <t>Total Profit</t>
  </si>
  <si>
    <t>Average Order Value</t>
  </si>
  <si>
    <t>BUSINESS INSIGHTS
1. West region generated the highest sales among all regions.
2. Home Office was the top-performing customer segment in terms of revenue.
3. Electronics was one of the strongest product categories based on sales performance.
4. Monthly sales showed fluctuations, indicating seasonal demand patterns.
5. No duplicate records or missing values were found during data cleaning
6. Sales calculations were validated using Quantity, Unit Price, and Discount values.
7. Pivot Tables and charts helped identify key trends in sales, profit, and customer behavior.
8. The dashboard provides an interactive view of business performance across regions, categories, and customer segments.</t>
  </si>
  <si>
    <t>KEY PERFORMANCE INDICATORS (KPIs)
 Total Orders Processed: 835     Total Sales Revenue: ₹ 1,21,06,040.00     Total Profit Earned: ₹ 22,07,520.17     Average Order Value: ₹ 14,981.02</t>
  </si>
  <si>
    <t>Created By: Kashvendra Kumar | Excel Dashboard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</si>
</sst>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F800]dddd\,\ mmmm\ dd\,\ yyyy"/>
    <numFmt numFmtId="166" formatCode="[$-14009]dd/mm/yyyy;@"/>
  </numFmts>
  <fonts count="8"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Arial"/>
      <family val="2"/>
    </font>
    <font>
      <sz val="8"/>
      <name val="Calibri"/>
      <family val="2"/>
      <scheme val="minor"/>
    </font>
    <font>
      <b/>
      <sz val="11"/>
      <color theme="0"/>
      <name val="Arial"/>
      <family val="2"/>
    </font>
    <font>
      <b/>
      <sz val="24"/>
      <color theme="1"/>
      <name val="Calibri"/>
      <family val="2"/>
      <scheme val="minor"/>
    </font>
    <font>
      <b/>
      <sz val="2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4" tint="0.59999389629810485"/>
        <bgColor indexed="64"/>
      </patternFill>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46">
    <xf numFmtId="0" fontId="0" fillId="0" borderId="0" xfId="0"/>
    <xf numFmtId="0" fontId="0" fillId="2" borderId="0" xfId="0" applyFill="1"/>
    <xf numFmtId="0" fontId="3" fillId="2" borderId="0" xfId="0" applyFont="1" applyFill="1" applyAlignment="1">
      <alignment horizontal="center"/>
    </xf>
    <xf numFmtId="14" fontId="3" fillId="2" borderId="0" xfId="0" applyNumberFormat="1" applyFont="1" applyFill="1" applyAlignment="1">
      <alignment horizontal="center"/>
    </xf>
    <xf numFmtId="14"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xf numFmtId="2" fontId="0" fillId="0" borderId="0" xfId="0" applyNumberFormat="1"/>
    <xf numFmtId="10" fontId="3" fillId="3" borderId="0" xfId="0" applyNumberFormat="1" applyFont="1" applyFill="1" applyAlignment="1">
      <alignment horizontal="center"/>
    </xf>
    <xf numFmtId="10" fontId="0" fillId="0" borderId="0" xfId="0" applyNumberFormat="1"/>
    <xf numFmtId="164" fontId="3" fillId="3" borderId="0" xfId="0" applyNumberFormat="1" applyFont="1" applyFill="1" applyAlignment="1">
      <alignment horizontal="center"/>
    </xf>
    <xf numFmtId="164" fontId="0" fillId="0" borderId="0" xfId="0" applyNumberFormat="1"/>
    <xf numFmtId="0" fontId="3" fillId="3" borderId="0" xfId="0" applyFont="1" applyFill="1" applyAlignment="1">
      <alignment horizontal="center"/>
    </xf>
    <xf numFmtId="0" fontId="0" fillId="3" borderId="0" xfId="0" applyFill="1"/>
    <xf numFmtId="0" fontId="5" fillId="3" borderId="0" xfId="0" applyFont="1" applyFill="1"/>
    <xf numFmtId="0" fontId="5" fillId="2" borderId="0" xfId="0" applyFont="1" applyFill="1"/>
    <xf numFmtId="10" fontId="5" fillId="3" borderId="0" xfId="0" applyNumberFormat="1" applyFont="1" applyFill="1"/>
    <xf numFmtId="0" fontId="0" fillId="0" borderId="0" xfId="0" pivotButton="1"/>
    <xf numFmtId="0" fontId="0" fillId="0" borderId="0" xfId="0" applyAlignment="1">
      <alignment horizontal="left"/>
    </xf>
    <xf numFmtId="0" fontId="2" fillId="0" borderId="0" xfId="0" applyFont="1" applyAlignment="1">
      <alignment vertical="center" wrapText="1"/>
    </xf>
    <xf numFmtId="164" fontId="2" fillId="0" borderId="0" xfId="0" applyNumberFormat="1" applyFont="1"/>
    <xf numFmtId="0" fontId="0" fillId="0" borderId="0" xfId="0" applyAlignment="1">
      <alignment horizontal="left" vertical="center" indent="1"/>
    </xf>
    <xf numFmtId="165" fontId="0" fillId="0" borderId="0" xfId="0" applyNumberFormat="1"/>
    <xf numFmtId="166" fontId="5" fillId="3" borderId="0" xfId="0" applyNumberFormat="1" applyFont="1" applyFill="1"/>
    <xf numFmtId="166" fontId="0" fillId="0" borderId="0" xfId="0" applyNumberFormat="1"/>
    <xf numFmtId="165" fontId="0" fillId="0" borderId="0" xfId="0" applyNumberFormat="1" applyAlignment="1">
      <alignment horizontal="left"/>
    </xf>
    <xf numFmtId="0" fontId="1" fillId="2" borderId="0" xfId="0" applyFont="1" applyFill="1" applyAlignment="1">
      <alignment horizontal="center"/>
    </xf>
    <xf numFmtId="0" fontId="1" fillId="2" borderId="0" xfId="0" applyFont="1" applyFill="1"/>
    <xf numFmtId="0" fontId="7" fillId="0" borderId="0" xfId="0" applyFont="1"/>
    <xf numFmtId="0" fontId="2" fillId="0" borderId="1" xfId="0" applyFont="1" applyBorder="1" applyAlignment="1">
      <alignment horizontal="center" wrapText="1"/>
    </xf>
    <xf numFmtId="0" fontId="2" fillId="0" borderId="5" xfId="0" applyFont="1" applyBorder="1" applyAlignment="1">
      <alignment horizontal="center" wrapText="1"/>
    </xf>
    <xf numFmtId="0" fontId="2" fillId="0" borderId="2" xfId="0" applyFont="1" applyBorder="1" applyAlignment="1">
      <alignment horizontal="center" wrapText="1"/>
    </xf>
    <xf numFmtId="0" fontId="2" fillId="0" borderId="7" xfId="0" applyFont="1" applyBorder="1" applyAlignment="1">
      <alignment horizontal="center" wrapText="1"/>
    </xf>
    <xf numFmtId="0" fontId="2" fillId="0" borderId="0" xfId="0" applyFont="1" applyAlignment="1">
      <alignment horizontal="center" wrapText="1"/>
    </xf>
    <xf numFmtId="0" fontId="2" fillId="0" borderId="8" xfId="0" applyFont="1" applyBorder="1" applyAlignment="1">
      <alignment horizontal="center" wrapText="1"/>
    </xf>
    <xf numFmtId="0" fontId="2" fillId="0" borderId="3" xfId="0" applyFont="1" applyBorder="1" applyAlignment="1">
      <alignment horizontal="center" wrapText="1"/>
    </xf>
    <xf numFmtId="0" fontId="2" fillId="0" borderId="6" xfId="0" applyFont="1" applyBorder="1" applyAlignment="1">
      <alignment horizontal="center" wrapText="1"/>
    </xf>
    <xf numFmtId="0" fontId="2" fillId="0" borderId="4" xfId="0" applyFont="1" applyBorder="1" applyAlignment="1">
      <alignment horizontal="center" wrapText="1"/>
    </xf>
    <xf numFmtId="0" fontId="6" fillId="0" borderId="0" xfId="0" applyFont="1" applyAlignment="1">
      <alignment horizontal="center" vertical="center"/>
    </xf>
    <xf numFmtId="0" fontId="2" fillId="4" borderId="1" xfId="0" applyFont="1" applyFill="1" applyBorder="1" applyAlignment="1">
      <alignment horizontal="center" vertical="top" wrapText="1"/>
    </xf>
    <xf numFmtId="0" fontId="2" fillId="4" borderId="5" xfId="0" applyFont="1" applyFill="1" applyBorder="1" applyAlignment="1">
      <alignment horizontal="center" vertical="top" wrapText="1"/>
    </xf>
    <xf numFmtId="0" fontId="2" fillId="4" borderId="2"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4" borderId="6" xfId="0" applyFont="1" applyFill="1" applyBorder="1" applyAlignment="1">
      <alignment horizontal="center" vertical="top" wrapText="1"/>
    </xf>
    <xf numFmtId="0" fontId="2" fillId="4" borderId="4" xfId="0" applyFont="1" applyFill="1" applyBorder="1" applyAlignment="1">
      <alignment horizontal="center" vertical="top" wrapText="1"/>
    </xf>
  </cellXfs>
  <cellStyles count="1">
    <cellStyle name="Normal" xfId="0" builtinId="0"/>
  </cellStyles>
  <dxfs count="12">
    <dxf>
      <numFmt numFmtId="165" formatCode="[$-F800]dddd\,\ mmmm\ dd\,\ yyyy"/>
    </dxf>
    <dxf>
      <numFmt numFmtId="165" formatCode="[$-F800]dddd\,\ mmmm\ dd\,\ yyyy"/>
    </dxf>
    <dxf>
      <numFmt numFmtId="164" formatCode="&quot;₹&quot;\ #,##0.00"/>
    </dxf>
    <dxf>
      <numFmt numFmtId="164" formatCode="&quot;₹&quot;\ #,##0.00"/>
    </dxf>
    <dxf>
      <numFmt numFmtId="164" formatCode="&quot;₹&quot;\ #,##0.00"/>
    </dxf>
    <dxf>
      <numFmt numFmtId="164" formatCode="&quot;₹&quot;\ #,##0.00"/>
    </dxf>
    <dxf>
      <numFmt numFmtId="164" formatCode="&quot;₹&quot;\ #,##0.00"/>
    </dxf>
    <dxf>
      <numFmt numFmtId="14" formatCode="0.00%"/>
    </dxf>
    <dxf>
      <numFmt numFmtId="164" formatCode="&quot;₹&quot;\ #,##0.00"/>
    </dxf>
    <dxf>
      <numFmt numFmtId="2" formatCode="0.00"/>
    </dxf>
    <dxf>
      <numFmt numFmtId="19" formatCode="dd/mm/yyyy"/>
    </dxf>
    <dxf>
      <font>
        <b val="0"/>
        <i val="0"/>
        <strike val="0"/>
        <condense val="0"/>
        <extend val="0"/>
        <outline val="0"/>
        <shadow val="0"/>
        <u val="none"/>
        <vertAlign val="baseline"/>
        <sz val="11"/>
        <color theme="1"/>
        <name val="Arial"/>
        <family val="2"/>
        <scheme val="none"/>
      </font>
      <numFmt numFmtId="0" formatCode="General"/>
      <fill>
        <patternFill patternType="solid">
          <fgColor indexed="64"/>
          <bgColor theme="3"/>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[ecommerce_sales_analysis.xlsx]Pivot_Category!PivotTable1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Pivot_Category!$B$1</c:f>
              <c:strCache>
                <c:ptCount val="1"/>
                <c:pt idx="0">
                  <c:v>Sum of Sales_Amount</c:v>
                </c:pt>
              </c:strCache>
            </c:strRef>
          </c:tx>
          <c:spPr>
            <a:solidFill>
              <a:schemeClr val="accent1"/>
            </a:solidFill>
            <a:ln>
              <a:noFill/>
            </a:ln>
            <a:effectLst/>
          </c:spPr>
          <c:invertIfNegative val="0"/>
          <c:cat>
            <c:strRef>
              <c:f>Pivot_Category!$A$2:$A$5</c:f>
              <c:strCache>
                <c:ptCount val="3"/>
                <c:pt idx="0">
                  <c:v>Electronics</c:v>
                </c:pt>
                <c:pt idx="1">
                  <c:v>Home &amp; Kitchen</c:v>
                </c:pt>
                <c:pt idx="2">
                  <c:v>Clothing</c:v>
                </c:pt>
              </c:strCache>
            </c:strRef>
          </c:cat>
          <c:val>
            <c:numRef>
              <c:f>Pivot_Category!$B$2:$B$5</c:f>
              <c:numCache>
                <c:formatCode>General</c:formatCode>
                <c:ptCount val="3"/>
                <c:pt idx="0">
                  <c:v>1440300</c:v>
                </c:pt>
                <c:pt idx="1">
                  <c:v>371560</c:v>
                </c:pt>
                <c:pt idx="2">
                  <c:v>99435</c:v>
                </c:pt>
              </c:numCache>
            </c:numRef>
          </c:val>
          <c:extLst>
            <c:ext xmlns:c16="http://schemas.microsoft.com/office/drawing/2014/chart" uri="{C3380CC4-5D6E-409C-BE32-E72D297353CC}">
              <c16:uniqueId val="{00000000-D328-409F-BAB0-C71E3397FD75}"/>
            </c:ext>
          </c:extLst>
        </c:ser>
        <c:ser>
          <c:idx val="1"/>
          <c:order val="1"/>
          <c:tx>
            <c:strRef>
              <c:f>Pivot_Category!$C$1</c:f>
              <c:strCache>
                <c:ptCount val="1"/>
                <c:pt idx="0">
                  <c:v>Sum of Profit</c:v>
                </c:pt>
              </c:strCache>
            </c:strRef>
          </c:tx>
          <c:spPr>
            <a:solidFill>
              <a:schemeClr val="accent2"/>
            </a:solidFill>
            <a:ln>
              <a:noFill/>
            </a:ln>
            <a:effectLst/>
          </c:spPr>
          <c:invertIfNegative val="0"/>
          <c:cat>
            <c:strRef>
              <c:f>Pivot_Category!$A$2:$A$5</c:f>
              <c:strCache>
                <c:ptCount val="3"/>
                <c:pt idx="0">
                  <c:v>Electronics</c:v>
                </c:pt>
                <c:pt idx="1">
                  <c:v>Home &amp; Kitchen</c:v>
                </c:pt>
                <c:pt idx="2">
                  <c:v>Clothing</c:v>
                </c:pt>
              </c:strCache>
            </c:strRef>
          </c:cat>
          <c:val>
            <c:numRef>
              <c:f>Pivot_Category!$C$2:$C$5</c:f>
              <c:numCache>
                <c:formatCode>General</c:formatCode>
                <c:ptCount val="3"/>
                <c:pt idx="0">
                  <c:v>285990.78999999998</c:v>
                </c:pt>
                <c:pt idx="1">
                  <c:v>63414.8</c:v>
                </c:pt>
                <c:pt idx="2">
                  <c:v>16330.65</c:v>
                </c:pt>
              </c:numCache>
            </c:numRef>
          </c:val>
          <c:extLst>
            <c:ext xmlns:c16="http://schemas.microsoft.com/office/drawing/2014/chart" uri="{C3380CC4-5D6E-409C-BE32-E72D297353CC}">
              <c16:uniqueId val="{00000001-D328-409F-BAB0-C71E3397FD75}"/>
            </c:ext>
          </c:extLst>
        </c:ser>
        <c:dLbls>
          <c:showLegendKey val="0"/>
          <c:showVal val="0"/>
          <c:showCatName val="0"/>
          <c:showSerName val="0"/>
          <c:showPercent val="0"/>
          <c:showBubbleSize val="0"/>
        </c:dLbls>
        <c:gapWidth val="219"/>
        <c:overlap val="-27"/>
        <c:axId val="110698096"/>
        <c:axId val="110681776"/>
      </c:barChart>
      <c:catAx>
        <c:axId val="11069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81776"/>
        <c:crosses val="autoZero"/>
        <c:auto val="1"/>
        <c:lblAlgn val="ctr"/>
        <c:lblOffset val="100"/>
        <c:noMultiLvlLbl val="0"/>
      </c:catAx>
      <c:valAx>
        <c:axId val="11068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9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[ecommerce_sales_analysis.xlsx]Pivot_Profit_Category!PivotTable4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Pivot_Profit_Category!$B$1</c:f>
              <c:strCache>
                <c:ptCount val="1"/>
                <c:pt idx="0">
                  <c:v>Total</c:v>
                </c:pt>
              </c:strCache>
            </c:strRef>
          </c:tx>
          <c:spPr>
            <a:solidFill>
              <a:schemeClr val="accent1"/>
            </a:solidFill>
            <a:ln>
              <a:noFill/>
            </a:ln>
            <a:effectLst/>
          </c:spPr>
          <c:invertIfNegative val="0"/>
          <c:cat>
            <c:strRef>
              <c:f>Pivot_Profit_Category!$A$2:$A$5</c:f>
              <c:strCache>
                <c:ptCount val="3"/>
                <c:pt idx="0">
                  <c:v>Electronics</c:v>
                </c:pt>
                <c:pt idx="1">
                  <c:v>Home &amp; Kitchen</c:v>
                </c:pt>
                <c:pt idx="2">
                  <c:v>Clothing</c:v>
                </c:pt>
              </c:strCache>
            </c:strRef>
          </c:cat>
          <c:val>
            <c:numRef>
              <c:f>Pivot_Profit_Category!$B$2:$B$5</c:f>
              <c:numCache>
                <c:formatCode>"₹"\ #,##0.00</c:formatCode>
                <c:ptCount val="3"/>
                <c:pt idx="0">
                  <c:v>1877393.8699999999</c:v>
                </c:pt>
                <c:pt idx="1">
                  <c:v>241421.96</c:v>
                </c:pt>
                <c:pt idx="2">
                  <c:v>88704.34</c:v>
                </c:pt>
              </c:numCache>
            </c:numRef>
          </c:val>
          <c:extLst>
            <c:ext xmlns:c16="http://schemas.microsoft.com/office/drawing/2014/chart" uri="{C3380CC4-5D6E-409C-BE32-E72D297353CC}">
              <c16:uniqueId val="{00000000-399C-4A94-8A6B-D7CD2541372F}"/>
            </c:ext>
          </c:extLst>
        </c:ser>
        <c:dLbls>
          <c:showLegendKey val="0"/>
          <c:showVal val="0"/>
          <c:showCatName val="0"/>
          <c:showSerName val="0"/>
          <c:showPercent val="0"/>
          <c:showBubbleSize val="0"/>
        </c:dLbls>
        <c:gapWidth val="182"/>
        <c:axId val="559725008"/>
        <c:axId val="559725488"/>
      </c:barChart>
      <c:catAx>
        <c:axId val="55972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25488"/>
        <c:crosses val="autoZero"/>
        <c:auto val="1"/>
        <c:lblAlgn val="ctr"/>
        <c:lblOffset val="100"/>
        <c:noMultiLvlLbl val="0"/>
      </c:catAx>
      <c:valAx>
        <c:axId val="5597254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2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1140195</c:v>
              </c:pt>
              <c:pt idx="1">
                <c:v>1517950</c:v>
              </c:pt>
              <c:pt idx="2">
                <c:v>621170</c:v>
              </c:pt>
              <c:pt idx="3">
                <c:v>741880</c:v>
              </c:pt>
              <c:pt idx="4">
                <c:v>1697075</c:v>
              </c:pt>
              <c:pt idx="5">
                <c:v>1310840</c:v>
              </c:pt>
              <c:pt idx="6">
                <c:v>1626955</c:v>
              </c:pt>
              <c:pt idx="7">
                <c:v>551250</c:v>
              </c:pt>
              <c:pt idx="8">
                <c:v>1141280</c:v>
              </c:pt>
              <c:pt idx="9">
                <c:v>475545</c:v>
              </c:pt>
              <c:pt idx="10">
                <c:v>666925</c:v>
              </c:pt>
              <c:pt idx="11">
                <c:v>614975</c:v>
              </c:pt>
            </c:numLit>
          </c:val>
          <c:smooth val="0"/>
          <c:extLst>
            <c:ext xmlns:c16="http://schemas.microsoft.com/office/drawing/2014/chart" uri="{C3380CC4-5D6E-409C-BE32-E72D297353CC}">
              <c16:uniqueId val="{00000000-8C4C-4E24-B477-67C8401F5CF5}"/>
            </c:ext>
          </c:extLst>
        </c:ser>
        <c:dLbls>
          <c:showLegendKey val="0"/>
          <c:showVal val="0"/>
          <c:showCatName val="0"/>
          <c:showSerName val="0"/>
          <c:showPercent val="0"/>
          <c:showBubbleSize val="0"/>
        </c:dLbls>
        <c:smooth val="0"/>
        <c:axId val="559724528"/>
        <c:axId val="559719728"/>
      </c:lineChart>
      <c:catAx>
        <c:axId val="55972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19728"/>
        <c:crosses val="autoZero"/>
        <c:auto val="1"/>
        <c:lblAlgn val="ctr"/>
        <c:lblOffset val="100"/>
        <c:noMultiLvlLbl val="0"/>
      </c:catAx>
      <c:valAx>
        <c:axId val="55971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[ecommerce_sales_analysis.xlsx]Pivot_Region_Segment!PivotTable2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 and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Pivot_Region_Segment!$B$1:$B$2</c:f>
              <c:strCache>
                <c:ptCount val="1"/>
                <c:pt idx="0">
                  <c:v>Consumer</c:v>
                </c:pt>
              </c:strCache>
            </c:strRef>
          </c:tx>
          <c:spPr>
            <a:solidFill>
              <a:schemeClr val="accent1"/>
            </a:solidFill>
            <a:ln>
              <a:noFill/>
            </a:ln>
            <a:effectLst/>
          </c:spPr>
          <c:invertIfNegative val="0"/>
          <c:cat>
            <c:strRef>
              <c:f>Pivot_Region_Segment!$A$3:$A$7</c:f>
              <c:strCache>
                <c:ptCount val="4"/>
                <c:pt idx="0">
                  <c:v>West</c:v>
                </c:pt>
                <c:pt idx="1">
                  <c:v>South</c:v>
                </c:pt>
                <c:pt idx="2">
                  <c:v>North</c:v>
                </c:pt>
                <c:pt idx="3">
                  <c:v>East</c:v>
                </c:pt>
              </c:strCache>
            </c:strRef>
          </c:cat>
          <c:val>
            <c:numRef>
              <c:f>Pivot_Region_Segment!$B$3:$B$7</c:f>
              <c:numCache>
                <c:formatCode>"₹"\ #,##0.00</c:formatCode>
                <c:ptCount val="4"/>
                <c:pt idx="0">
                  <c:v>1263690</c:v>
                </c:pt>
                <c:pt idx="1">
                  <c:v>872895</c:v>
                </c:pt>
                <c:pt idx="2">
                  <c:v>816420</c:v>
                </c:pt>
                <c:pt idx="3">
                  <c:v>974235</c:v>
                </c:pt>
              </c:numCache>
            </c:numRef>
          </c:val>
          <c:extLst>
            <c:ext xmlns:c16="http://schemas.microsoft.com/office/drawing/2014/chart" uri="{C3380CC4-5D6E-409C-BE32-E72D297353CC}">
              <c16:uniqueId val="{00000000-0250-4B4C-9006-592C57AC4060}"/>
            </c:ext>
          </c:extLst>
        </c:ser>
        <c:ser>
          <c:idx val="1"/>
          <c:order val="1"/>
          <c:tx>
            <c:strRef>
              <c:f>Pivot_Region_Segment!$C$1:$C$2</c:f>
              <c:strCache>
                <c:ptCount val="1"/>
                <c:pt idx="0">
                  <c:v>Corporate</c:v>
                </c:pt>
              </c:strCache>
            </c:strRef>
          </c:tx>
          <c:spPr>
            <a:solidFill>
              <a:schemeClr val="accent2"/>
            </a:solidFill>
            <a:ln>
              <a:noFill/>
            </a:ln>
            <a:effectLst/>
          </c:spPr>
          <c:invertIfNegative val="0"/>
          <c:cat>
            <c:strRef>
              <c:f>Pivot_Region_Segment!$A$3:$A$7</c:f>
              <c:strCache>
                <c:ptCount val="4"/>
                <c:pt idx="0">
                  <c:v>West</c:v>
                </c:pt>
                <c:pt idx="1">
                  <c:v>South</c:v>
                </c:pt>
                <c:pt idx="2">
                  <c:v>North</c:v>
                </c:pt>
                <c:pt idx="3">
                  <c:v>East</c:v>
                </c:pt>
              </c:strCache>
            </c:strRef>
          </c:cat>
          <c:val>
            <c:numRef>
              <c:f>Pivot_Region_Segment!$C$3:$C$7</c:f>
              <c:numCache>
                <c:formatCode>"₹"\ #,##0.00</c:formatCode>
                <c:ptCount val="4"/>
                <c:pt idx="0">
                  <c:v>1345825</c:v>
                </c:pt>
                <c:pt idx="1">
                  <c:v>744825</c:v>
                </c:pt>
                <c:pt idx="2">
                  <c:v>1123515</c:v>
                </c:pt>
                <c:pt idx="3">
                  <c:v>625165</c:v>
                </c:pt>
              </c:numCache>
            </c:numRef>
          </c:val>
          <c:extLst>
            <c:ext xmlns:c16="http://schemas.microsoft.com/office/drawing/2014/chart" uri="{C3380CC4-5D6E-409C-BE32-E72D297353CC}">
              <c16:uniqueId val="{00000001-0250-4B4C-9006-592C57AC4060}"/>
            </c:ext>
          </c:extLst>
        </c:ser>
        <c:ser>
          <c:idx val="2"/>
          <c:order val="2"/>
          <c:tx>
            <c:strRef>
              <c:f>Pivot_Region_Segment!$D$1:$D$2</c:f>
              <c:strCache>
                <c:ptCount val="1"/>
                <c:pt idx="0">
                  <c:v>Home Office</c:v>
                </c:pt>
              </c:strCache>
            </c:strRef>
          </c:tx>
          <c:spPr>
            <a:solidFill>
              <a:schemeClr val="accent3"/>
            </a:solidFill>
            <a:ln>
              <a:noFill/>
            </a:ln>
            <a:effectLst/>
          </c:spPr>
          <c:invertIfNegative val="0"/>
          <c:cat>
            <c:strRef>
              <c:f>Pivot_Region_Segment!$A$3:$A$7</c:f>
              <c:strCache>
                <c:ptCount val="4"/>
                <c:pt idx="0">
                  <c:v>West</c:v>
                </c:pt>
                <c:pt idx="1">
                  <c:v>South</c:v>
                </c:pt>
                <c:pt idx="2">
                  <c:v>North</c:v>
                </c:pt>
                <c:pt idx="3">
                  <c:v>East</c:v>
                </c:pt>
              </c:strCache>
            </c:strRef>
          </c:cat>
          <c:val>
            <c:numRef>
              <c:f>Pivot_Region_Segment!$D$3:$D$7</c:f>
              <c:numCache>
                <c:formatCode>"₹"\ #,##0.00</c:formatCode>
                <c:ptCount val="4"/>
                <c:pt idx="0">
                  <c:v>1346415</c:v>
                </c:pt>
                <c:pt idx="1">
                  <c:v>1964175</c:v>
                </c:pt>
                <c:pt idx="2">
                  <c:v>716985</c:v>
                </c:pt>
                <c:pt idx="3">
                  <c:v>311895</c:v>
                </c:pt>
              </c:numCache>
            </c:numRef>
          </c:val>
          <c:extLst>
            <c:ext xmlns:c16="http://schemas.microsoft.com/office/drawing/2014/chart" uri="{C3380CC4-5D6E-409C-BE32-E72D297353CC}">
              <c16:uniqueId val="{00000002-0250-4B4C-9006-592C57AC4060}"/>
            </c:ext>
          </c:extLst>
        </c:ser>
        <c:dLbls>
          <c:showLegendKey val="0"/>
          <c:showVal val="0"/>
          <c:showCatName val="0"/>
          <c:showSerName val="0"/>
          <c:showPercent val="0"/>
          <c:showBubbleSize val="0"/>
        </c:dLbls>
        <c:gapWidth val="150"/>
        <c:overlap val="100"/>
        <c:axId val="559704848"/>
        <c:axId val="559705328"/>
      </c:barChart>
      <c:catAx>
        <c:axId val="55970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05328"/>
        <c:crosses val="autoZero"/>
        <c:auto val="1"/>
        <c:lblAlgn val="ctr"/>
        <c:lblOffset val="100"/>
        <c:noMultiLvlLbl val="0"/>
      </c:catAx>
      <c:valAx>
        <c:axId val="559705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0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[ecommerce_sales_analysis.xlsx]Pivot_Category!PivotTable1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Pivot_Category!$B$1</c:f>
              <c:strCache>
                <c:ptCount val="1"/>
                <c:pt idx="0">
                  <c:v>Sum of Sales_Amount</c:v>
                </c:pt>
              </c:strCache>
            </c:strRef>
          </c:tx>
          <c:spPr>
            <a:solidFill>
              <a:schemeClr val="accent1"/>
            </a:solidFill>
            <a:ln>
              <a:noFill/>
            </a:ln>
            <a:effectLst/>
          </c:spPr>
          <c:invertIfNegative val="0"/>
          <c:cat>
            <c:strRef>
              <c:f>Pivot_Category!$A$2:$A$5</c:f>
              <c:strCache>
                <c:ptCount val="3"/>
                <c:pt idx="0">
                  <c:v>Electronics</c:v>
                </c:pt>
                <c:pt idx="1">
                  <c:v>Home &amp; Kitchen</c:v>
                </c:pt>
                <c:pt idx="2">
                  <c:v>Clothing</c:v>
                </c:pt>
              </c:strCache>
            </c:strRef>
          </c:cat>
          <c:val>
            <c:numRef>
              <c:f>Pivot_Category!$B$2:$B$5</c:f>
              <c:numCache>
                <c:formatCode>General</c:formatCode>
                <c:ptCount val="3"/>
                <c:pt idx="0">
                  <c:v>1440300</c:v>
                </c:pt>
                <c:pt idx="1">
                  <c:v>371560</c:v>
                </c:pt>
                <c:pt idx="2">
                  <c:v>99435</c:v>
                </c:pt>
              </c:numCache>
            </c:numRef>
          </c:val>
          <c:extLst>
            <c:ext xmlns:c16="http://schemas.microsoft.com/office/drawing/2014/chart" uri="{C3380CC4-5D6E-409C-BE32-E72D297353CC}">
              <c16:uniqueId val="{00000000-C8AB-49CD-ADCA-4E814F0A6468}"/>
            </c:ext>
          </c:extLst>
        </c:ser>
        <c:ser>
          <c:idx val="1"/>
          <c:order val="1"/>
          <c:tx>
            <c:strRef>
              <c:f>Pivot_Category!$C$1</c:f>
              <c:strCache>
                <c:ptCount val="1"/>
                <c:pt idx="0">
                  <c:v>Sum of Profit</c:v>
                </c:pt>
              </c:strCache>
            </c:strRef>
          </c:tx>
          <c:spPr>
            <a:solidFill>
              <a:schemeClr val="accent2"/>
            </a:solidFill>
            <a:ln>
              <a:noFill/>
            </a:ln>
            <a:effectLst/>
          </c:spPr>
          <c:invertIfNegative val="0"/>
          <c:cat>
            <c:strRef>
              <c:f>Pivot_Category!$A$2:$A$5</c:f>
              <c:strCache>
                <c:ptCount val="3"/>
                <c:pt idx="0">
                  <c:v>Electronics</c:v>
                </c:pt>
                <c:pt idx="1">
                  <c:v>Home &amp; Kitchen</c:v>
                </c:pt>
                <c:pt idx="2">
                  <c:v>Clothing</c:v>
                </c:pt>
              </c:strCache>
            </c:strRef>
          </c:cat>
          <c:val>
            <c:numRef>
              <c:f>Pivot_Category!$C$2:$C$5</c:f>
              <c:numCache>
                <c:formatCode>General</c:formatCode>
                <c:ptCount val="3"/>
                <c:pt idx="0">
                  <c:v>285990.78999999998</c:v>
                </c:pt>
                <c:pt idx="1">
                  <c:v>63414.8</c:v>
                </c:pt>
                <c:pt idx="2">
                  <c:v>16330.65</c:v>
                </c:pt>
              </c:numCache>
            </c:numRef>
          </c:val>
          <c:extLst>
            <c:ext xmlns:c16="http://schemas.microsoft.com/office/drawing/2014/chart" uri="{C3380CC4-5D6E-409C-BE32-E72D297353CC}">
              <c16:uniqueId val="{00000001-C8AB-49CD-ADCA-4E814F0A6468}"/>
            </c:ext>
          </c:extLst>
        </c:ser>
        <c:dLbls>
          <c:showLegendKey val="0"/>
          <c:showVal val="0"/>
          <c:showCatName val="0"/>
          <c:showSerName val="0"/>
          <c:showPercent val="0"/>
          <c:showBubbleSize val="0"/>
        </c:dLbls>
        <c:gapWidth val="219"/>
        <c:overlap val="-27"/>
        <c:axId val="110698096"/>
        <c:axId val="110681776"/>
      </c:barChart>
      <c:catAx>
        <c:axId val="11069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81776"/>
        <c:crosses val="autoZero"/>
        <c:auto val="1"/>
        <c:lblAlgn val="ctr"/>
        <c:lblOffset val="100"/>
        <c:noMultiLvlLbl val="0"/>
      </c:catAx>
      <c:valAx>
        <c:axId val="11068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9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[ecommerce_sales_analysis.xlsx]Pivot_Region_Segment!PivotTable2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 and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Pivot_Region_Segment!$B$1:$B$2</c:f>
              <c:strCache>
                <c:ptCount val="1"/>
                <c:pt idx="0">
                  <c:v>Consumer</c:v>
                </c:pt>
              </c:strCache>
            </c:strRef>
          </c:tx>
          <c:spPr>
            <a:solidFill>
              <a:schemeClr val="accent1"/>
            </a:solidFill>
            <a:ln>
              <a:noFill/>
            </a:ln>
            <a:effectLst/>
          </c:spPr>
          <c:invertIfNegative val="0"/>
          <c:cat>
            <c:strRef>
              <c:f>Pivot_Region_Segment!$A$3:$A$7</c:f>
              <c:strCache>
                <c:ptCount val="4"/>
                <c:pt idx="0">
                  <c:v>West</c:v>
                </c:pt>
                <c:pt idx="1">
                  <c:v>South</c:v>
                </c:pt>
                <c:pt idx="2">
                  <c:v>North</c:v>
                </c:pt>
                <c:pt idx="3">
                  <c:v>East</c:v>
                </c:pt>
              </c:strCache>
            </c:strRef>
          </c:cat>
          <c:val>
            <c:numRef>
              <c:f>Pivot_Region_Segment!$B$3:$B$7</c:f>
              <c:numCache>
                <c:formatCode>"₹"\ #,##0.00</c:formatCode>
                <c:ptCount val="4"/>
                <c:pt idx="0">
                  <c:v>1263690</c:v>
                </c:pt>
                <c:pt idx="1">
                  <c:v>872895</c:v>
                </c:pt>
                <c:pt idx="2">
                  <c:v>816420</c:v>
                </c:pt>
                <c:pt idx="3">
                  <c:v>974235</c:v>
                </c:pt>
              </c:numCache>
            </c:numRef>
          </c:val>
          <c:extLst>
            <c:ext xmlns:c16="http://schemas.microsoft.com/office/drawing/2014/chart" uri="{C3380CC4-5D6E-409C-BE32-E72D297353CC}">
              <c16:uniqueId val="{00000000-D1E8-4F0A-82A1-D8299C5C6173}"/>
            </c:ext>
          </c:extLst>
        </c:ser>
        <c:ser>
          <c:idx val="1"/>
          <c:order val="1"/>
          <c:tx>
            <c:strRef>
              <c:f>Pivot_Region_Segment!$C$1:$C$2</c:f>
              <c:strCache>
                <c:ptCount val="1"/>
                <c:pt idx="0">
                  <c:v>Corporate</c:v>
                </c:pt>
              </c:strCache>
            </c:strRef>
          </c:tx>
          <c:spPr>
            <a:solidFill>
              <a:schemeClr val="accent2"/>
            </a:solidFill>
            <a:ln>
              <a:noFill/>
            </a:ln>
            <a:effectLst/>
          </c:spPr>
          <c:invertIfNegative val="0"/>
          <c:cat>
            <c:strRef>
              <c:f>Pivot_Region_Segment!$A$3:$A$7</c:f>
              <c:strCache>
                <c:ptCount val="4"/>
                <c:pt idx="0">
                  <c:v>West</c:v>
                </c:pt>
                <c:pt idx="1">
                  <c:v>South</c:v>
                </c:pt>
                <c:pt idx="2">
                  <c:v>North</c:v>
                </c:pt>
                <c:pt idx="3">
                  <c:v>East</c:v>
                </c:pt>
              </c:strCache>
            </c:strRef>
          </c:cat>
          <c:val>
            <c:numRef>
              <c:f>Pivot_Region_Segment!$C$3:$C$7</c:f>
              <c:numCache>
                <c:formatCode>"₹"\ #,##0.00</c:formatCode>
                <c:ptCount val="4"/>
                <c:pt idx="0">
                  <c:v>1345825</c:v>
                </c:pt>
                <c:pt idx="1">
                  <c:v>744825</c:v>
                </c:pt>
                <c:pt idx="2">
                  <c:v>1123515</c:v>
                </c:pt>
                <c:pt idx="3">
                  <c:v>625165</c:v>
                </c:pt>
              </c:numCache>
            </c:numRef>
          </c:val>
          <c:extLst>
            <c:ext xmlns:c16="http://schemas.microsoft.com/office/drawing/2014/chart" uri="{C3380CC4-5D6E-409C-BE32-E72D297353CC}">
              <c16:uniqueId val="{00000001-D1E8-4F0A-82A1-D8299C5C6173}"/>
            </c:ext>
          </c:extLst>
        </c:ser>
        <c:ser>
          <c:idx val="2"/>
          <c:order val="2"/>
          <c:tx>
            <c:strRef>
              <c:f>Pivot_Region_Segment!$D$1:$D$2</c:f>
              <c:strCache>
                <c:ptCount val="1"/>
                <c:pt idx="0">
                  <c:v>Home Office</c:v>
                </c:pt>
              </c:strCache>
            </c:strRef>
          </c:tx>
          <c:spPr>
            <a:solidFill>
              <a:schemeClr val="accent3"/>
            </a:solidFill>
            <a:ln>
              <a:noFill/>
            </a:ln>
            <a:effectLst/>
          </c:spPr>
          <c:invertIfNegative val="0"/>
          <c:cat>
            <c:strRef>
              <c:f>Pivot_Region_Segment!$A$3:$A$7</c:f>
              <c:strCache>
                <c:ptCount val="4"/>
                <c:pt idx="0">
                  <c:v>West</c:v>
                </c:pt>
                <c:pt idx="1">
                  <c:v>South</c:v>
                </c:pt>
                <c:pt idx="2">
                  <c:v>North</c:v>
                </c:pt>
                <c:pt idx="3">
                  <c:v>East</c:v>
                </c:pt>
              </c:strCache>
            </c:strRef>
          </c:cat>
          <c:val>
            <c:numRef>
              <c:f>Pivot_Region_Segment!$D$3:$D$7</c:f>
              <c:numCache>
                <c:formatCode>"₹"\ #,##0.00</c:formatCode>
                <c:ptCount val="4"/>
                <c:pt idx="0">
                  <c:v>1346415</c:v>
                </c:pt>
                <c:pt idx="1">
                  <c:v>1964175</c:v>
                </c:pt>
                <c:pt idx="2">
                  <c:v>716985</c:v>
                </c:pt>
                <c:pt idx="3">
                  <c:v>311895</c:v>
                </c:pt>
              </c:numCache>
            </c:numRef>
          </c:val>
          <c:extLst>
            <c:ext xmlns:c16="http://schemas.microsoft.com/office/drawing/2014/chart" uri="{C3380CC4-5D6E-409C-BE32-E72D297353CC}">
              <c16:uniqueId val="{00000002-D1E8-4F0A-82A1-D8299C5C6173}"/>
            </c:ext>
          </c:extLst>
        </c:ser>
        <c:dLbls>
          <c:showLegendKey val="0"/>
          <c:showVal val="0"/>
          <c:showCatName val="0"/>
          <c:showSerName val="0"/>
          <c:showPercent val="0"/>
          <c:showBubbleSize val="0"/>
        </c:dLbls>
        <c:gapWidth val="150"/>
        <c:overlap val="100"/>
        <c:axId val="559704848"/>
        <c:axId val="559705328"/>
      </c:barChart>
      <c:catAx>
        <c:axId val="55970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05328"/>
        <c:crosses val="autoZero"/>
        <c:auto val="1"/>
        <c:lblAlgn val="ctr"/>
        <c:lblOffset val="100"/>
        <c:noMultiLvlLbl val="0"/>
      </c:catAx>
      <c:valAx>
        <c:axId val="559705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0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7928969816273"/>
          <c:y val="0.16276102088167052"/>
          <c:w val="0.70367372047244092"/>
          <c:h val="0.67793174635073172"/>
        </c:manualLayout>
      </c:layout>
      <c:lineChart>
        <c:grouping val="standard"/>
        <c:varyColors val="0"/>
        <c:ser>
          <c:idx val="0"/>
          <c:order val="0"/>
          <c:tx>
            <c:v>Total</c:v>
          </c:tx>
          <c:spPr>
            <a:ln w="28575" cap="rnd">
              <a:solidFill>
                <a:schemeClr val="accent1"/>
              </a:solidFill>
              <a:round/>
            </a:ln>
            <a:effectLst/>
          </c:spPr>
          <c:marker>
            <c:symbol val="none"/>
          </c:marker>
          <c:cat>
            <c:strLit>
              <c:ptCount val="12"/>
              <c:pt idx="0">
                <c:v>Apr-2024</c:v>
              </c:pt>
              <c:pt idx="1">
                <c:v>Aug-2024</c:v>
              </c:pt>
              <c:pt idx="2">
                <c:v>Dec-2024</c:v>
              </c:pt>
              <c:pt idx="3">
                <c:v>Feb-2024</c:v>
              </c:pt>
              <c:pt idx="4">
                <c:v>Jan-2024</c:v>
              </c:pt>
              <c:pt idx="5">
                <c:v>Jul-2024</c:v>
              </c:pt>
              <c:pt idx="6">
                <c:v>Jun-2024</c:v>
              </c:pt>
              <c:pt idx="7">
                <c:v>Mar-2024</c:v>
              </c:pt>
              <c:pt idx="8">
                <c:v>May-2024</c:v>
              </c:pt>
              <c:pt idx="9">
                <c:v>Nov-2024</c:v>
              </c:pt>
              <c:pt idx="10">
                <c:v>Oct-2024</c:v>
              </c:pt>
              <c:pt idx="11">
                <c:v>Sep-2024</c:v>
              </c:pt>
            </c:strLit>
          </c:cat>
          <c:val>
            <c:numLit>
              <c:formatCode>General</c:formatCode>
              <c:ptCount val="12"/>
              <c:pt idx="0">
                <c:v>1140195</c:v>
              </c:pt>
              <c:pt idx="1">
                <c:v>1517950</c:v>
              </c:pt>
              <c:pt idx="2">
                <c:v>621170</c:v>
              </c:pt>
              <c:pt idx="3">
                <c:v>741880</c:v>
              </c:pt>
              <c:pt idx="4">
                <c:v>1697075</c:v>
              </c:pt>
              <c:pt idx="5">
                <c:v>1310840</c:v>
              </c:pt>
              <c:pt idx="6">
                <c:v>1626955</c:v>
              </c:pt>
              <c:pt idx="7">
                <c:v>551250</c:v>
              </c:pt>
              <c:pt idx="8">
                <c:v>1141280</c:v>
              </c:pt>
              <c:pt idx="9">
                <c:v>475545</c:v>
              </c:pt>
              <c:pt idx="10">
                <c:v>666925</c:v>
              </c:pt>
              <c:pt idx="11">
                <c:v>614975</c:v>
              </c:pt>
            </c:numLit>
          </c:val>
          <c:smooth val="0"/>
          <c:extLst>
            <c:ext xmlns:c16="http://schemas.microsoft.com/office/drawing/2014/chart" uri="{C3380CC4-5D6E-409C-BE32-E72D297353CC}">
              <c16:uniqueId val="{00000000-3C46-4E9F-80CE-ED03AB101F2C}"/>
            </c:ext>
          </c:extLst>
        </c:ser>
        <c:dLbls>
          <c:showLegendKey val="0"/>
          <c:showVal val="0"/>
          <c:showCatName val="0"/>
          <c:showSerName val="0"/>
          <c:showPercent val="0"/>
          <c:showBubbleSize val="0"/>
        </c:dLbls>
        <c:smooth val="0"/>
        <c:axId val="559724528"/>
        <c:axId val="559719728"/>
      </c:lineChart>
      <c:catAx>
        <c:axId val="55972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19728"/>
        <c:crosses val="autoZero"/>
        <c:auto val="1"/>
        <c:lblAlgn val="ctr"/>
        <c:lblOffset val="100"/>
        <c:noMultiLvlLbl val="0"/>
      </c:catAx>
      <c:valAx>
        <c:axId val="55971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[ecommerce_sales_analysis.xlsx]Pivot_Profit_Category!PivotTable4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Pivot_Profit_Category!$B$1</c:f>
              <c:strCache>
                <c:ptCount val="1"/>
                <c:pt idx="0">
                  <c:v>Total</c:v>
                </c:pt>
              </c:strCache>
            </c:strRef>
          </c:tx>
          <c:spPr>
            <a:solidFill>
              <a:schemeClr val="accent1"/>
            </a:solidFill>
            <a:ln>
              <a:noFill/>
            </a:ln>
            <a:effectLst/>
          </c:spPr>
          <c:invertIfNegative val="0"/>
          <c:cat>
            <c:strRef>
              <c:f>Pivot_Profit_Category!$A$2:$A$5</c:f>
              <c:strCache>
                <c:ptCount val="3"/>
                <c:pt idx="0">
                  <c:v>Electronics</c:v>
                </c:pt>
                <c:pt idx="1">
                  <c:v>Home &amp; Kitchen</c:v>
                </c:pt>
                <c:pt idx="2">
                  <c:v>Clothing</c:v>
                </c:pt>
              </c:strCache>
            </c:strRef>
          </c:cat>
          <c:val>
            <c:numRef>
              <c:f>Pivot_Profit_Category!$B$2:$B$5</c:f>
              <c:numCache>
                <c:formatCode>"₹"\ #,##0.00</c:formatCode>
                <c:ptCount val="3"/>
                <c:pt idx="0">
                  <c:v>1877393.8699999999</c:v>
                </c:pt>
                <c:pt idx="1">
                  <c:v>241421.96</c:v>
                </c:pt>
                <c:pt idx="2">
                  <c:v>88704.34</c:v>
                </c:pt>
              </c:numCache>
            </c:numRef>
          </c:val>
          <c:extLst>
            <c:ext xmlns:c16="http://schemas.microsoft.com/office/drawing/2014/chart" uri="{C3380CC4-5D6E-409C-BE32-E72D297353CC}">
              <c16:uniqueId val="{00000000-DEB2-49C8-8788-790B060EB29B}"/>
            </c:ext>
          </c:extLst>
        </c:ser>
        <c:dLbls>
          <c:showLegendKey val="0"/>
          <c:showVal val="0"/>
          <c:showCatName val="0"/>
          <c:showSerName val="0"/>
          <c:showPercent val="0"/>
          <c:showBubbleSize val="0"/>
        </c:dLbls>
        <c:gapWidth val="182"/>
        <c:axId val="559725008"/>
        <c:axId val="559725488"/>
      </c:barChart>
      <c:catAx>
        <c:axId val="55972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25488"/>
        <c:crosses val="autoZero"/>
        <c:auto val="1"/>
        <c:lblAlgn val="ctr"/>
        <c:lblOffset val="100"/>
        <c:noMultiLvlLbl val="0"/>
      </c:catAx>
      <c:valAx>
        <c:axId val="5597254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2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5</xdr:col>
      <xdr:colOff>601980</xdr:colOff>
      <xdr:row>19</xdr:row>
      <xdr:rowOff>30480</xdr:rowOff>
    </xdr:to>
    <xdr:graphicFrame macro="">
      <xdr:nvGraphicFramePr>
        <xdr:cNvPr id="2" name="Chart 1">
          <a:extLst>
            <a:ext uri="{FF2B5EF4-FFF2-40B4-BE49-F238E27FC236}">
              <a16:creationId xmlns:a16="http://schemas.microsoft.com/office/drawing/2014/main" id="{30ED5EB1-F6F3-4E27-B62D-04E8D8696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xdr:row>
      <xdr:rowOff>0</xdr:rowOff>
    </xdr:from>
    <xdr:to>
      <xdr:col>11</xdr:col>
      <xdr:colOff>594360</xdr:colOff>
      <xdr:row>18</xdr:row>
      <xdr:rowOff>175260</xdr:rowOff>
    </xdr:to>
    <xdr:graphicFrame macro="">
      <xdr:nvGraphicFramePr>
        <xdr:cNvPr id="3" name="Chart 2">
          <a:extLst>
            <a:ext uri="{FF2B5EF4-FFF2-40B4-BE49-F238E27FC236}">
              <a16:creationId xmlns:a16="http://schemas.microsoft.com/office/drawing/2014/main" id="{B7705320-111C-499C-BF9C-201D72159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0</xdr:rowOff>
    </xdr:from>
    <xdr:to>
      <xdr:col>12</xdr:col>
      <xdr:colOff>7620</xdr:colOff>
      <xdr:row>34</xdr:row>
      <xdr:rowOff>7620</xdr:rowOff>
    </xdr:to>
    <xdr:graphicFrame macro="">
      <xdr:nvGraphicFramePr>
        <xdr:cNvPr id="4" name="Chart 3">
          <a:extLst>
            <a:ext uri="{FF2B5EF4-FFF2-40B4-BE49-F238E27FC236}">
              <a16:creationId xmlns:a16="http://schemas.microsoft.com/office/drawing/2014/main" id="{422CCD76-CEB4-4517-BF8D-BEC168698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35</xdr:row>
      <xdr:rowOff>0</xdr:rowOff>
    </xdr:from>
    <xdr:to>
      <xdr:col>5</xdr:col>
      <xdr:colOff>586740</xdr:colOff>
      <xdr:row>49</xdr:row>
      <xdr:rowOff>0</xdr:rowOff>
    </xdr:to>
    <xdr:graphicFrame macro="">
      <xdr:nvGraphicFramePr>
        <xdr:cNvPr id="5" name="Chart 4">
          <a:extLst>
            <a:ext uri="{FF2B5EF4-FFF2-40B4-BE49-F238E27FC236}">
              <a16:creationId xmlns:a16="http://schemas.microsoft.com/office/drawing/2014/main" id="{E68C8B65-C68E-4777-A4AF-8543D07FF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149680</xdr:colOff>
      <xdr:row>6</xdr:row>
      <xdr:rowOff>108857</xdr:rowOff>
    </xdr:from>
    <xdr:to>
      <xdr:col>15</xdr:col>
      <xdr:colOff>140387</xdr:colOff>
      <xdr:row>20</xdr:row>
      <xdr:rowOff>21498</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2AA7CD9C-CFFC-44A8-9988-8EAEA68367E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042668" y="1328057"/>
              <a:ext cx="1828472" cy="2422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204108</xdr:colOff>
      <xdr:row>20</xdr:row>
      <xdr:rowOff>40821</xdr:rowOff>
    </xdr:from>
    <xdr:to>
      <xdr:col>15</xdr:col>
      <xdr:colOff>194815</xdr:colOff>
      <xdr:row>33</xdr:row>
      <xdr:rowOff>130357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50152C8-57A5-43DB-9AA9-AABFFAF9DE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97096" y="3770139"/>
              <a:ext cx="1828472" cy="2420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231322</xdr:colOff>
      <xdr:row>34</xdr:row>
      <xdr:rowOff>54429</xdr:rowOff>
    </xdr:from>
    <xdr:to>
      <xdr:col>15</xdr:col>
      <xdr:colOff>222029</xdr:colOff>
      <xdr:row>47</xdr:row>
      <xdr:rowOff>130355</xdr:rowOff>
    </xdr:to>
    <mc:AlternateContent xmlns:mc="http://schemas.openxmlformats.org/markup-compatibility/2006" xmlns:a14="http://schemas.microsoft.com/office/drawing/2010/main">
      <mc:Choice Requires="a14">
        <xdr:graphicFrame macro="">
          <xdr:nvGraphicFramePr>
            <xdr:cNvPr id="8" name="Customer_Segment">
              <a:extLst>
                <a:ext uri="{FF2B5EF4-FFF2-40B4-BE49-F238E27FC236}">
                  <a16:creationId xmlns:a16="http://schemas.microsoft.com/office/drawing/2014/main" id="{FCA42489-C952-4A5F-81B1-929526AE1B3D}"/>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9124310" y="6293864"/>
              <a:ext cx="1828472" cy="2415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899160</xdr:colOff>
      <xdr:row>7</xdr:row>
      <xdr:rowOff>0</xdr:rowOff>
    </xdr:from>
    <xdr:to>
      <xdr:col>11</xdr:col>
      <xdr:colOff>15240</xdr:colOff>
      <xdr:row>21</xdr:row>
      <xdr:rowOff>7620</xdr:rowOff>
    </xdr:to>
    <xdr:graphicFrame macro="">
      <xdr:nvGraphicFramePr>
        <xdr:cNvPr id="2" name="Chart 1">
          <a:extLst>
            <a:ext uri="{FF2B5EF4-FFF2-40B4-BE49-F238E27FC236}">
              <a16:creationId xmlns:a16="http://schemas.microsoft.com/office/drawing/2014/main" id="{240C92CA-92FA-CB8E-FA56-81AA9B456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8</xdr:row>
      <xdr:rowOff>167640</xdr:rowOff>
    </xdr:from>
    <xdr:to>
      <xdr:col>9</xdr:col>
      <xdr:colOff>0</xdr:colOff>
      <xdr:row>22</xdr:row>
      <xdr:rowOff>0</xdr:rowOff>
    </xdr:to>
    <xdr:graphicFrame macro="">
      <xdr:nvGraphicFramePr>
        <xdr:cNvPr id="2" name="Chart 1">
          <a:extLst>
            <a:ext uri="{FF2B5EF4-FFF2-40B4-BE49-F238E27FC236}">
              <a16:creationId xmlns:a16="http://schemas.microsoft.com/office/drawing/2014/main" id="{078B616E-7705-2640-BFBB-763F0A794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205740</xdr:colOff>
      <xdr:row>12</xdr:row>
      <xdr:rowOff>152400</xdr:rowOff>
    </xdr:from>
    <xdr:to>
      <xdr:col>14</xdr:col>
      <xdr:colOff>601980</xdr:colOff>
      <xdr:row>29</xdr:row>
      <xdr:rowOff>0</xdr:rowOff>
    </xdr:to>
    <xdr:graphicFrame macro="">
      <xdr:nvGraphicFramePr>
        <xdr:cNvPr id="2" name="Chart 1">
          <a:extLst>
            <a:ext uri="{FF2B5EF4-FFF2-40B4-BE49-F238E27FC236}">
              <a16:creationId xmlns:a16="http://schemas.microsoft.com/office/drawing/2014/main" id="{2C0E8CA1-57C2-45B2-7C8A-BC4774D24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899160</xdr:colOff>
      <xdr:row>5</xdr:row>
      <xdr:rowOff>144780</xdr:rowOff>
    </xdr:from>
    <xdr:to>
      <xdr:col>12</xdr:col>
      <xdr:colOff>312420</xdr:colOff>
      <xdr:row>20</xdr:row>
      <xdr:rowOff>144780</xdr:rowOff>
    </xdr:to>
    <xdr:graphicFrame macro="">
      <xdr:nvGraphicFramePr>
        <xdr:cNvPr id="2" name="Chart 1">
          <a:extLst>
            <a:ext uri="{FF2B5EF4-FFF2-40B4-BE49-F238E27FC236}">
              <a16:creationId xmlns:a16="http://schemas.microsoft.com/office/drawing/2014/main" id="{57D152F2-664A-80DD-A92F-F11FC0C79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vendra Kumar" refreshedDate="46186.616750810186" createdVersion="8" refreshedVersion="8" minRefreshableVersion="3" recordCount="275" xr:uid="{343066A8-B072-4442-9274-D5956928B84E}">
  <cacheSource type="worksheet">
    <worksheetSource ref="A1:Z299" sheet="Clean_Data"/>
  </cacheSource>
  <cacheFields count="26">
    <cacheField name="Order_ID" numFmtId="0">
      <sharedItems containsBlank="1"/>
    </cacheField>
    <cacheField name="Order_Date" numFmtId="14">
      <sharedItems containsBlank="1"/>
    </cacheField>
    <cacheField name="Customer_ID" numFmtId="0">
      <sharedItems containsBlank="1"/>
    </cacheField>
    <cacheField name="Customer_Name" numFmtId="0">
      <sharedItems containsBlank="1"/>
    </cacheField>
    <cacheField name="Customer_Segment" numFmtId="0">
      <sharedItems containsBlank="1" count="4">
        <s v="Home Office"/>
        <s v="Consumer"/>
        <s v="Corporate"/>
        <m/>
      </sharedItems>
    </cacheField>
    <cacheField name="Region" numFmtId="0">
      <sharedItems containsBlank="1" count="5">
        <s v="South"/>
        <s v="North"/>
        <s v="West"/>
        <s v="East"/>
        <m/>
      </sharedItems>
    </cacheField>
    <cacheField name="State" numFmtId="0">
      <sharedItems containsBlank="1"/>
    </cacheField>
    <cacheField name="City" numFmtId="0">
      <sharedItems containsBlank="1"/>
    </cacheField>
    <cacheField name="Category" numFmtId="0">
      <sharedItems containsBlank="1" count="4">
        <s v="Electronics"/>
        <s v="Home &amp; Kitchen"/>
        <s v="Clothing"/>
        <m/>
      </sharedItems>
    </cacheField>
    <cacheField name="Sub_Category" numFmtId="0">
      <sharedItems containsBlank="1"/>
    </cacheField>
    <cacheField name="Product_Name" numFmtId="0">
      <sharedItems containsBlank="1"/>
    </cacheField>
    <cacheField name="Quantity" numFmtId="2">
      <sharedItems containsString="0" containsBlank="1" containsNumber="1" containsInteger="1" minValue="1" maxValue="5"/>
    </cacheField>
    <cacheField name="Unit_Price" numFmtId="164">
      <sharedItems containsString="0" containsBlank="1" containsNumber="1" containsInteger="1" minValue="600" maxValue="115000"/>
    </cacheField>
    <cacheField name=" Discount" numFmtId="10">
      <sharedItems containsString="0" containsBlank="1" containsNumber="1" minValue="0" maxValue="0.2"/>
    </cacheField>
    <cacheField name="Sales_Amount" numFmtId="164">
      <sharedItems containsString="0" containsBlank="1" containsNumber="1" containsInteger="1" minValue="540" maxValue="575000"/>
    </cacheField>
    <cacheField name="Profit" numFmtId="164">
      <sharedItems containsString="0" containsBlank="1" containsNumber="1" minValue="59.2" maxValue="118658.26"/>
    </cacheField>
    <cacheField name="Shipping_Cost" numFmtId="164">
      <sharedItems containsString="0" containsBlank="1" containsNumber="1" minValue="51.43" maxValue="499.5"/>
    </cacheField>
    <cacheField name="Ship_Mode" numFmtId="0">
      <sharedItems containsBlank="1"/>
    </cacheField>
    <cacheField name="Field1" numFmtId="0">
      <sharedItems containsNonDate="0" containsString="0" containsBlank="1"/>
    </cacheField>
    <cacheField name="Field2" numFmtId="0">
      <sharedItems containsNonDate="0" containsString="0" containsBlank="1"/>
    </cacheField>
    <cacheField name="Revenue_Check" numFmtId="0">
      <sharedItems containsString="0" containsBlank="1" containsNumber="1" containsInteger="1" minValue="540" maxValue="575000"/>
    </cacheField>
    <cacheField name="Profit_Margin" numFmtId="10">
      <sharedItems containsString="0" containsBlank="1" containsNumber="1" minValue="8.002484848484849E-2" maxValue="0.27789181286549708"/>
    </cacheField>
    <cacheField name="Order_Tag" numFmtId="0">
      <sharedItems containsBlank="1"/>
    </cacheField>
    <cacheField name="Discount_Band" numFmtId="0">
      <sharedItems containsBlank="1"/>
    </cacheField>
    <cacheField name="Month" numFmtId="0">
      <sharedItems containsBlank="1"/>
    </cacheField>
    <cacheField name="Year" numFmtId="0">
      <sharedItems containsString="0" containsBlank="1" containsNumber="1" containsInteger="1" minValue="2024" maxValue="2024"/>
    </cacheField>
  </cacheFields>
  <extLst>
    <ext xmlns:x14="http://schemas.microsoft.com/office/spreadsheetml/2009/9/main" uri="{725AE2AE-9491-48be-B2B4-4EB974FC3084}">
      <x14:pivotCacheDefinition pivotCacheId="17532800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hvendra Kumar" refreshedDate="46186.626752314813" createdVersion="8" refreshedVersion="8" minRefreshableVersion="3" recordCount="274" xr:uid="{F7CAA758-0B05-411F-AD54-C43DC1F145C2}">
  <cacheSource type="worksheet">
    <worksheetSource ref="A1:Z275" sheet="Clean_Data"/>
  </cacheSource>
  <cacheFields count="26">
    <cacheField name="Order_ID" numFmtId="0">
      <sharedItems/>
    </cacheField>
    <cacheField name="Order_Date" numFmtId="14">
      <sharedItems count="182">
        <s v="2024-01-13"/>
        <s v="2024-01-07"/>
        <s v="2024-01-23"/>
        <s v="2024-01-15"/>
        <s v="2024-01-02"/>
        <s v="2024-01-05"/>
        <s v="2024-01-11"/>
        <s v="2024-01-24"/>
        <s v="2024-01-09"/>
        <s v="2024-01-14"/>
        <s v="2024-01-17"/>
        <s v="2024-01-19"/>
        <s v="2024-01-21"/>
        <s v="2024-02-13"/>
        <s v="2024-02-11"/>
        <s v="2024-02-14"/>
        <s v="2024-02-20"/>
        <s v="2024-02-17"/>
        <s v="2024-02-05"/>
        <s v="2024-02-15"/>
        <s v="2024-02-07"/>
        <s v="2024-02-08"/>
        <s v="2024-02-16"/>
        <s v="2024-02-01"/>
        <s v="2024-02-24"/>
        <s v="2024-02-10"/>
        <s v="2024-02-21"/>
        <s v="2024-02-22"/>
        <s v="2024-02-25"/>
        <s v="2024-03-16"/>
        <s v="2024-03-10"/>
        <s v="2024-03-26"/>
        <s v="2024-03-07"/>
        <s v="2024-03-03"/>
        <s v="2024-03-18"/>
        <s v="2024-03-23"/>
        <s v="2024-03-05"/>
        <s v="2024-03-24"/>
        <s v="2024-03-28"/>
        <s v="2024-03-09"/>
        <s v="2024-03-14"/>
        <s v="2024-03-25"/>
        <s v="2024-03-01"/>
        <s v="2024-03-20"/>
        <s v="2024-03-06"/>
        <s v="2024-03-12"/>
        <s v="2024-04-11"/>
        <s v="2024-04-17"/>
        <s v="2024-04-16"/>
        <s v="2024-04-24"/>
        <s v="2024-04-25"/>
        <s v="2024-04-04"/>
        <s v="2024-04-26"/>
        <s v="2024-04-14"/>
        <s v="2024-04-13"/>
        <s v="2024-04-12"/>
        <s v="2024-04-07"/>
        <s v="2024-04-15"/>
        <s v="2024-04-03"/>
        <s v="2024-04-20"/>
        <s v="2024-04-22"/>
        <s v="2024-04-18"/>
        <s v="2024-05-05"/>
        <s v="2024-05-08"/>
        <s v="2024-05-07"/>
        <s v="2024-05-18"/>
        <s v="2024-05-04"/>
        <s v="2024-05-26"/>
        <s v="2024-05-03"/>
        <s v="2024-05-19"/>
        <s v="2024-05-23"/>
        <s v="2024-05-06"/>
        <s v="2024-05-25"/>
        <s v="2024-05-10"/>
        <s v="2024-05-17"/>
        <s v="2024-05-11"/>
        <s v="2024-05-21"/>
        <s v="2024-06-27"/>
        <s v="2024-06-25"/>
        <s v="2024-06-19"/>
        <s v="2024-06-01"/>
        <s v="2024-06-14"/>
        <s v="2024-06-11"/>
        <s v="2024-06-28"/>
        <s v="2024-06-10"/>
        <s v="2024-06-18"/>
        <s v="2024-06-23"/>
        <s v="2024-06-17"/>
        <s v="2024-06-16"/>
        <s v="2024-06-02"/>
        <s v="2024-06-15"/>
        <s v="2024-07-07"/>
        <s v="2024-07-12"/>
        <s v="2024-07-26"/>
        <s v="2024-07-10"/>
        <s v="2024-07-16"/>
        <s v="2024-07-18"/>
        <s v="2024-07-01"/>
        <s v="2024-07-09"/>
        <s v="2024-07-04"/>
        <s v="2024-07-17"/>
        <s v="2024-07-15"/>
        <s v="2024-07-28"/>
        <s v="2024-07-06"/>
        <s v="2024-07-25"/>
        <s v="2024-07-24"/>
        <s v="2024-07-03"/>
        <s v="2024-07-13"/>
        <s v="2024-08-22"/>
        <s v="2024-08-26"/>
        <s v="2024-08-03"/>
        <s v="2024-08-17"/>
        <s v="2024-08-12"/>
        <s v="2024-08-21"/>
        <s v="2024-08-19"/>
        <s v="2024-08-16"/>
        <s v="2024-08-05"/>
        <s v="2024-08-10"/>
        <s v="2024-08-23"/>
        <s v="2024-08-11"/>
        <s v="2024-08-25"/>
        <s v="2024-08-18"/>
        <s v="2024-08-27"/>
        <s v="2024-08-09"/>
        <s v="2024-09-23"/>
        <s v="2024-09-05"/>
        <s v="2024-09-15"/>
        <s v="2024-09-10"/>
        <s v="2024-09-07"/>
        <s v="2024-09-08"/>
        <s v="2024-09-04"/>
        <s v="2024-09-26"/>
        <s v="2024-09-19"/>
        <s v="2024-09-25"/>
        <s v="2024-09-16"/>
        <s v="2024-09-18"/>
        <s v="2024-09-01"/>
        <s v="2024-09-06"/>
        <s v="2024-10-11"/>
        <s v="2024-10-06"/>
        <s v="2024-10-17"/>
        <s v="2024-10-22"/>
        <s v="2024-10-07"/>
        <s v="2024-10-10"/>
        <s v="2024-10-02"/>
        <s v="2024-10-01"/>
        <s v="2024-10-16"/>
        <s v="2024-10-20"/>
        <s v="2024-10-23"/>
        <s v="2024-10-08"/>
        <s v="2024-10-15"/>
        <s v="2024-10-04"/>
        <s v="2024-10-27"/>
        <s v="2024-10-19"/>
        <s v="2024-10-26"/>
        <s v="2024-11-02"/>
        <s v="2024-11-17"/>
        <s v="2024-11-05"/>
        <s v="2024-11-15"/>
        <s v="2024-11-08"/>
        <s v="2024-11-24"/>
        <s v="2024-11-07"/>
        <s v="2024-11-09"/>
        <s v="2024-11-27"/>
        <s v="2024-11-12"/>
        <s v="2024-11-19"/>
        <s v="2024-11-10"/>
        <s v="2024-11-04"/>
        <s v="2024-12-03"/>
        <s v="2024-12-02"/>
        <s v="2024-12-23"/>
        <s v="2024-12-07"/>
        <s v="2024-12-28"/>
        <s v="2024-12-11"/>
        <s v="2024-12-18"/>
        <s v="2024-12-16"/>
        <s v="2024-12-25"/>
        <s v="2024-12-19"/>
        <s v="2024-12-12"/>
        <s v="2024-12-01"/>
        <s v="2024-12-06"/>
        <s v="2024-12-05"/>
      </sharedItems>
    </cacheField>
    <cacheField name="Customer_ID" numFmtId="0">
      <sharedItems/>
    </cacheField>
    <cacheField name="Customer_Name" numFmtId="0">
      <sharedItems/>
    </cacheField>
    <cacheField name="Customer_Segment" numFmtId="0">
      <sharedItems count="3">
        <s v="Home Office"/>
        <s v="Consumer"/>
        <s v="Corporate"/>
      </sharedItems>
    </cacheField>
    <cacheField name="Region" numFmtId="0">
      <sharedItems count="4">
        <s v="South"/>
        <s v="North"/>
        <s v="West"/>
        <s v="East"/>
      </sharedItems>
    </cacheField>
    <cacheField name="State" numFmtId="0">
      <sharedItems/>
    </cacheField>
    <cacheField name="City" numFmtId="0">
      <sharedItems/>
    </cacheField>
    <cacheField name="Category" numFmtId="0">
      <sharedItems count="3">
        <s v="Electronics"/>
        <s v="Home &amp; Kitchen"/>
        <s v="Clothing"/>
      </sharedItems>
    </cacheField>
    <cacheField name="Sub_Category" numFmtId="0">
      <sharedItems/>
    </cacheField>
    <cacheField name="Product_Name" numFmtId="0">
      <sharedItems/>
    </cacheField>
    <cacheField name="Quantity" numFmtId="2">
      <sharedItems containsSemiMixedTypes="0" containsString="0" containsNumber="1" containsInteger="1" minValue="1" maxValue="5"/>
    </cacheField>
    <cacheField name="Unit_Price" numFmtId="164">
      <sharedItems containsSemiMixedTypes="0" containsString="0" containsNumber="1" containsInteger="1" minValue="600" maxValue="115000"/>
    </cacheField>
    <cacheField name=" Discount" numFmtId="10">
      <sharedItems containsSemiMixedTypes="0" containsString="0" containsNumber="1" minValue="0" maxValue="0.2"/>
    </cacheField>
    <cacheField name="Sales_Amount" numFmtId="164">
      <sharedItems containsSemiMixedTypes="0" containsString="0" containsNumber="1" containsInteger="1" minValue="540" maxValue="575000"/>
    </cacheField>
    <cacheField name="Profit" numFmtId="164">
      <sharedItems containsSemiMixedTypes="0" containsString="0" containsNumber="1" minValue="59.2" maxValue="118658.26"/>
    </cacheField>
    <cacheField name="Shipping_Cost" numFmtId="164">
      <sharedItems containsSemiMixedTypes="0" containsString="0" containsNumber="1" minValue="51.43" maxValue="499.5"/>
    </cacheField>
    <cacheField name="Ship_Mode" numFmtId="0">
      <sharedItems/>
    </cacheField>
    <cacheField name="Field1" numFmtId="0">
      <sharedItems containsNonDate="0" containsString="0" containsBlank="1"/>
    </cacheField>
    <cacheField name="Field2" numFmtId="0">
      <sharedItems containsNonDate="0" containsString="0" containsBlank="1"/>
    </cacheField>
    <cacheField name="Revenue_Check" numFmtId="164">
      <sharedItems containsSemiMixedTypes="0" containsString="0" containsNumber="1" containsInteger="1" minValue="540" maxValue="575000"/>
    </cacheField>
    <cacheField name="Profit_Margin" numFmtId="10">
      <sharedItems containsSemiMixedTypes="0" containsString="0" containsNumber="1" minValue="8.002484848484849E-2" maxValue="0.27789181286549708"/>
    </cacheField>
    <cacheField name="Order_Tag" numFmtId="0">
      <sharedItems/>
    </cacheField>
    <cacheField name="Discount_Band" numFmtId="0">
      <sharedItems/>
    </cacheField>
    <cacheField name="Month" numFmtId="0">
      <sharedItems count="12">
        <s v="Jan-2024"/>
        <s v="Feb-2024"/>
        <s v="Mar-2024"/>
        <s v="Apr-2024"/>
        <s v="May-2024"/>
        <s v="Jun-2024"/>
        <s v="Jul-2024"/>
        <s v="Aug-2024"/>
        <s v="Sep-2024"/>
        <s v="Oct-2024"/>
        <s v="Nov-2024"/>
        <s v="Dec-2024"/>
      </sharedItems>
    </cacheField>
    <cacheField name="Year" numFmtId="0">
      <sharedItems containsSemiMixedTypes="0" containsString="0" containsNumber="1" containsInteger="1" minValue="2024" maxValue="20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5">
  <r>
    <s v="ORD-1001"/>
    <s v="2024-01-13"/>
    <s v="CUST007"/>
    <s v="Deepak Gupta"/>
    <x v="0"/>
    <x v="0"/>
    <s v="Karnataka"/>
    <s v="Bengaluru"/>
    <x v="0"/>
    <s v="Mobiles"/>
    <s v="OnePlus 11"/>
    <n v="4"/>
    <n v="40000"/>
    <n v="0.1"/>
    <n v="144000"/>
    <n v="31228.09"/>
    <n v="292.38"/>
    <s v="Same Day"/>
    <m/>
    <m/>
    <n v="144000"/>
    <n v="0.21686173611111112"/>
    <s v="High Value"/>
    <s v="Medium"/>
    <s v="Jan-2024"/>
    <n v="2024"/>
  </r>
  <r>
    <s v="ORD-1002"/>
    <s v="2024-01-07"/>
    <s v="CUST014"/>
    <s v="Divya Chauhan"/>
    <x v="0"/>
    <x v="0"/>
    <s v="Tamil Nadu"/>
    <s v="Coimbatore"/>
    <x v="1"/>
    <s v="Furniture"/>
    <s v="Study Table"/>
    <n v="4"/>
    <n v="6000"/>
    <n v="0.15"/>
    <n v="20400"/>
    <n v="2362.3200000000002"/>
    <n v="305.11"/>
    <s v="Standard Class"/>
    <m/>
    <m/>
    <n v="20400"/>
    <n v="0.11580000000000001"/>
    <s v="High Value"/>
    <s v="High"/>
    <s v="Jan-2024"/>
    <n v="2024"/>
  </r>
  <r>
    <s v="ORD-1003"/>
    <s v="2024-01-23"/>
    <s v="CUST017"/>
    <s v="Arjun Malhotra"/>
    <x v="0"/>
    <x v="1"/>
    <s v="Uttar Pradesh"/>
    <s v="Agra"/>
    <x v="2"/>
    <s v="Men"/>
    <s v="Men Jacket"/>
    <n v="5"/>
    <n v="3500"/>
    <n v="0"/>
    <n v="17500"/>
    <n v="2888.22"/>
    <n v="213.14"/>
    <s v="Standard Class"/>
    <m/>
    <m/>
    <n v="17500"/>
    <n v="0.16504114285714286"/>
    <s v="High Value"/>
    <s v="No Discount"/>
    <s v="Jan-2024"/>
    <n v="2024"/>
  </r>
  <r>
    <s v="ORD-1004"/>
    <s v="2024-01-15"/>
    <s v="CUST017"/>
    <s v="Arjun Malhotra"/>
    <x v="1"/>
    <x v="2"/>
    <s v="Maharashtra"/>
    <s v="Pune"/>
    <x v="0"/>
    <s v="Mobiles"/>
    <s v="Samsung S23"/>
    <n v="4"/>
    <n v="55000"/>
    <n v="0.1"/>
    <n v="198000"/>
    <n v="52463.94"/>
    <n v="129.93"/>
    <s v="Second Class"/>
    <m/>
    <m/>
    <n v="198000"/>
    <n v="0.26496939393939395"/>
    <s v="High Value"/>
    <s v="Medium"/>
    <s v="Jan-2024"/>
    <n v="2024"/>
  </r>
  <r>
    <s v="ORD-1005"/>
    <s v="2024-01-02"/>
    <s v="CUST004"/>
    <s v="Sneha Verma"/>
    <x v="1"/>
    <x v="0"/>
    <s v="Tamil Nadu"/>
    <s v="Madurai"/>
    <x v="2"/>
    <s v="Men"/>
    <s v="Men Shoes"/>
    <n v="1"/>
    <n v="2800"/>
    <n v="0"/>
    <n v="2800"/>
    <n v="397.49"/>
    <n v="52.55"/>
    <s v="First Class"/>
    <m/>
    <m/>
    <n v="2800"/>
    <n v="0.1419607142857143"/>
    <s v="Normal"/>
    <s v="No Discount"/>
    <s v="Jan-2024"/>
    <n v="2024"/>
  </r>
  <r>
    <s v="ORD-1006"/>
    <s v="2024-01-05"/>
    <s v="CUST017"/>
    <s v="Arjun Malhotra"/>
    <x v="2"/>
    <x v="0"/>
    <s v="Karnataka"/>
    <s v="Mangaluru"/>
    <x v="0"/>
    <s v="Laptops"/>
    <s v="Lenovo IdeaPad"/>
    <n v="5"/>
    <n v="45000"/>
    <n v="0.05"/>
    <n v="213750"/>
    <n v="52374.47"/>
    <n v="106.86"/>
    <s v="Same Day"/>
    <m/>
    <m/>
    <n v="213750"/>
    <n v="0.24502676023391814"/>
    <s v="High Value"/>
    <s v="Low"/>
    <s v="Jan-2024"/>
    <n v="2024"/>
  </r>
  <r>
    <s v="ORD-1007"/>
    <s v="2024-01-02"/>
    <s v="CUST005"/>
    <s v="Amit Singh"/>
    <x v="0"/>
    <x v="0"/>
    <s v="Telangana"/>
    <s v="Warangal"/>
    <x v="0"/>
    <s v="Mobiles"/>
    <s v="iPhone 14"/>
    <n v="2"/>
    <n v="75000"/>
    <n v="0"/>
    <n v="150000"/>
    <n v="17224.05"/>
    <n v="129.94"/>
    <s v="Second Class"/>
    <m/>
    <m/>
    <n v="150000"/>
    <n v="0.114827"/>
    <s v="High Value"/>
    <s v="No Discount"/>
    <s v="Jan-2024"/>
    <n v="2024"/>
  </r>
  <r>
    <s v="ORD-1008"/>
    <s v="2024-01-07"/>
    <s v="CUST018"/>
    <s v="Riya Kapoor"/>
    <x v="2"/>
    <x v="2"/>
    <s v="Maharashtra"/>
    <s v="Pune"/>
    <x v="0"/>
    <s v="Laptops"/>
    <s v="HP Pavilion"/>
    <n v="1"/>
    <n v="50000"/>
    <n v="0.1"/>
    <n v="45000"/>
    <n v="6189.43"/>
    <n v="313.56"/>
    <s v="Standard Class"/>
    <m/>
    <m/>
    <n v="45000"/>
    <n v="0.13754288888888891"/>
    <s v="High Value"/>
    <s v="Medium"/>
    <s v="Jan-2024"/>
    <n v="2024"/>
  </r>
  <r>
    <s v="ORD-1009"/>
    <s v="2024-01-11"/>
    <s v="CUST007"/>
    <s v="Deepak Gupta"/>
    <x v="2"/>
    <x v="2"/>
    <s v="Gujarat"/>
    <s v="Surat"/>
    <x v="2"/>
    <s v="Women"/>
    <s v="Women Saree"/>
    <n v="5"/>
    <n v="3500"/>
    <n v="0"/>
    <n v="17500"/>
    <n v="2034.29"/>
    <n v="66.92"/>
    <s v="First Class"/>
    <m/>
    <m/>
    <n v="17500"/>
    <n v="0.11624514285714285"/>
    <s v="High Value"/>
    <s v="No Discount"/>
    <s v="Jan-2024"/>
    <n v="2024"/>
  </r>
  <r>
    <s v="ORD-1010"/>
    <s v="2024-01-24"/>
    <s v="CUST013"/>
    <s v="Sanjay Yadav"/>
    <x v="2"/>
    <x v="0"/>
    <s v="Tamil Nadu"/>
    <s v="Madurai"/>
    <x v="0"/>
    <s v="Accessories"/>
    <s v="Power Bank"/>
    <n v="1"/>
    <n v="1200"/>
    <n v="0.2"/>
    <n v="960"/>
    <n v="208.87"/>
    <n v="191.27"/>
    <s v="Second Class"/>
    <m/>
    <m/>
    <n v="960"/>
    <n v="0.21757291666666667"/>
    <s v="Normal"/>
    <s v="High"/>
    <s v="Jan-2024"/>
    <n v="2024"/>
  </r>
  <r>
    <s v="ORD-1011"/>
    <s v="2024-01-13"/>
    <s v="CUST010"/>
    <s v="Pooja Reddy"/>
    <x v="2"/>
    <x v="1"/>
    <s v="Uttar Pradesh"/>
    <s v="Kanpur"/>
    <x v="2"/>
    <s v="Men"/>
    <s v="Men Kurta"/>
    <n v="3"/>
    <n v="1500"/>
    <n v="0.15"/>
    <n v="3825"/>
    <n v="975.06"/>
    <n v="404.69"/>
    <s v="Second Class"/>
    <m/>
    <m/>
    <n v="3825"/>
    <n v="0.25491764705882353"/>
    <s v="Normal"/>
    <s v="High"/>
    <s v="Jan-2024"/>
    <n v="2024"/>
  </r>
  <r>
    <s v="ORD-1012"/>
    <s v="2024-01-09"/>
    <s v="CUST014"/>
    <s v="Divya Chauhan"/>
    <x v="2"/>
    <x v="2"/>
    <s v="Rajasthan"/>
    <s v="Jaipur"/>
    <x v="2"/>
    <s v="Women"/>
    <s v="Women Blazer"/>
    <n v="5"/>
    <n v="3200"/>
    <n v="0.15"/>
    <n v="13600"/>
    <n v="3032.33"/>
    <n v="137.51"/>
    <s v="First Class"/>
    <m/>
    <m/>
    <n v="13600"/>
    <n v="0.22296544117647057"/>
    <s v="High Value"/>
    <s v="High"/>
    <s v="Jan-2024"/>
    <n v="2024"/>
  </r>
  <r>
    <s v="ORD-1013"/>
    <s v="2024-01-07"/>
    <s v="CUST012"/>
    <s v="Meera Iyer"/>
    <x v="1"/>
    <x v="3"/>
    <s v="Bihar"/>
    <s v="Gaya"/>
    <x v="0"/>
    <s v="Accessories"/>
    <s v="Smartwatch"/>
    <n v="3"/>
    <n v="8000"/>
    <n v="0.15"/>
    <n v="20400"/>
    <n v="3332.19"/>
    <n v="388.69"/>
    <s v="Second Class"/>
    <m/>
    <m/>
    <n v="20400"/>
    <n v="0.16334264705882354"/>
    <s v="High Value"/>
    <s v="High"/>
    <s v="Jan-2024"/>
    <n v="2024"/>
  </r>
  <r>
    <s v="ORD-1014"/>
    <s v="2024-01-14"/>
    <s v="CUST012"/>
    <s v="Meera Iyer"/>
    <x v="0"/>
    <x v="2"/>
    <s v="Maharashtra"/>
    <s v="Mumbai"/>
    <x v="1"/>
    <s v="Decor"/>
    <s v="Photo Frame"/>
    <n v="1"/>
    <n v="600"/>
    <n v="0.1"/>
    <n v="540"/>
    <n v="76.739999999999995"/>
    <n v="352.54"/>
    <s v="Second Class"/>
    <m/>
    <m/>
    <n v="540"/>
    <n v="0.1421111111111111"/>
    <s v="Normal"/>
    <s v="Medium"/>
    <s v="Jan-2024"/>
    <n v="2024"/>
  </r>
  <r>
    <s v="ORD-1015"/>
    <s v="2024-01-17"/>
    <s v="CUST015"/>
    <s v="Nikhil Bose"/>
    <x v="1"/>
    <x v="3"/>
    <s v="Bihar"/>
    <s v="Gaya"/>
    <x v="2"/>
    <s v="Kids"/>
    <s v="Kids Jacket"/>
    <n v="5"/>
    <n v="1800"/>
    <n v="0.2"/>
    <n v="7200"/>
    <n v="1485.64"/>
    <n v="394.27"/>
    <s v="First Class"/>
    <m/>
    <m/>
    <n v="7200"/>
    <n v="0.20633888888888891"/>
    <s v="Normal"/>
    <s v="High"/>
    <s v="Jan-2024"/>
    <n v="2024"/>
  </r>
  <r>
    <s v="ORD-1016"/>
    <s v="2024-01-07"/>
    <s v="CUST024"/>
    <s v="Nisha Tiwari"/>
    <x v="1"/>
    <x v="1"/>
    <s v="Uttar Pradesh"/>
    <s v="Lucknow"/>
    <x v="1"/>
    <s v="Furniture"/>
    <s v="Office Chair"/>
    <n v="4"/>
    <n v="8500"/>
    <n v="0"/>
    <n v="34000"/>
    <n v="5230.74"/>
    <n v="300.75"/>
    <s v="First Class"/>
    <m/>
    <m/>
    <n v="34000"/>
    <n v="0.15384529411764705"/>
    <s v="High Value"/>
    <s v="No Discount"/>
    <s v="Jan-2024"/>
    <n v="2024"/>
  </r>
  <r>
    <s v="ORD-1017"/>
    <s v="2024-01-07"/>
    <s v="CUST025"/>
    <s v="Aditya Bhatt"/>
    <x v="1"/>
    <x v="2"/>
    <s v="Gujarat"/>
    <s v="Ahmedabad"/>
    <x v="2"/>
    <s v="Women"/>
    <s v="Women Saree"/>
    <n v="2"/>
    <n v="3500"/>
    <n v="0"/>
    <n v="7000"/>
    <n v="1822.47"/>
    <n v="440.57"/>
    <s v="Same Day"/>
    <m/>
    <m/>
    <n v="7000"/>
    <n v="0.26035285714285716"/>
    <s v="Normal"/>
    <s v="No Discount"/>
    <s v="Jan-2024"/>
    <n v="2024"/>
  </r>
  <r>
    <s v="ORD-1018"/>
    <s v="2024-01-14"/>
    <s v="CUST018"/>
    <s v="Riya Kapoor"/>
    <x v="0"/>
    <x v="0"/>
    <s v="Tamil Nadu"/>
    <s v="Coimbatore"/>
    <x v="0"/>
    <s v="Laptops"/>
    <s v="MacBook Air"/>
    <n v="5"/>
    <n v="115000"/>
    <n v="0.2"/>
    <n v="460000"/>
    <n v="118658.26"/>
    <n v="222.19"/>
    <s v="Same Day"/>
    <m/>
    <m/>
    <n v="460000"/>
    <n v="0.25795273913043476"/>
    <s v="High Value"/>
    <s v="High"/>
    <s v="Jan-2024"/>
    <n v="2024"/>
  </r>
  <r>
    <s v="ORD-1019"/>
    <s v="2024-01-19"/>
    <s v="CUST021"/>
    <s v="Karan Oberoi"/>
    <x v="2"/>
    <x v="0"/>
    <s v="Karnataka"/>
    <s v="Mangaluru"/>
    <x v="0"/>
    <s v="Laptops"/>
    <s v="Asus VivoBook"/>
    <n v="1"/>
    <n v="42000"/>
    <n v="0"/>
    <n v="42000"/>
    <n v="6129.87"/>
    <n v="272.36"/>
    <s v="First Class"/>
    <m/>
    <m/>
    <n v="42000"/>
    <n v="0.1459492857142857"/>
    <s v="High Value"/>
    <s v="No Discount"/>
    <s v="Jan-2024"/>
    <n v="2024"/>
  </r>
  <r>
    <s v="ORD-1020"/>
    <s v="2024-01-21"/>
    <s v="CUST024"/>
    <s v="Nisha Tiwari"/>
    <x v="1"/>
    <x v="3"/>
    <s v="Bihar"/>
    <s v="Patna"/>
    <x v="1"/>
    <s v="Appliances"/>
    <s v="Toaster"/>
    <n v="3"/>
    <n v="2200"/>
    <n v="0"/>
    <n v="6600"/>
    <n v="707.72"/>
    <n v="464"/>
    <s v="Same Day"/>
    <m/>
    <m/>
    <n v="6600"/>
    <n v="0.10723030303030304"/>
    <s v="Normal"/>
    <s v="No Discount"/>
    <s v="Jan-2024"/>
    <n v="2024"/>
  </r>
  <r>
    <s v="ORD-1021"/>
    <s v="2024-01-02"/>
    <s v="CUST002"/>
    <s v="Priya Patel"/>
    <x v="2"/>
    <x v="0"/>
    <s v="Telangana"/>
    <s v="Warangal"/>
    <x v="0"/>
    <s v="Laptops"/>
    <s v="Dell Inspiron"/>
    <n v="4"/>
    <n v="55000"/>
    <n v="0"/>
    <n v="220000"/>
    <n v="53035.59"/>
    <n v="102.73"/>
    <s v="Second Class"/>
    <m/>
    <m/>
    <n v="220000"/>
    <n v="0.24107086363636362"/>
    <s v="High Value"/>
    <s v="No Discount"/>
    <s v="Jan-2024"/>
    <n v="2024"/>
  </r>
  <r>
    <s v="ORD-1022"/>
    <s v="2024-01-09"/>
    <s v="CUST009"/>
    <s v="Vikram Joshi"/>
    <x v="0"/>
    <x v="3"/>
    <s v="West Bengal"/>
    <s v="Siliguri"/>
    <x v="0"/>
    <s v="Accessories"/>
    <s v="Smartwatch"/>
    <n v="3"/>
    <n v="8000"/>
    <n v="0.15"/>
    <n v="20400"/>
    <n v="5548.64"/>
    <n v="290.73"/>
    <s v="Standard Class"/>
    <m/>
    <m/>
    <n v="20400"/>
    <n v="0.27199215686274514"/>
    <s v="High Value"/>
    <s v="High"/>
    <s v="Jan-2024"/>
    <n v="2024"/>
  </r>
  <r>
    <s v="ORD-1023"/>
    <s v="2024-01-24"/>
    <s v="CUST005"/>
    <s v="Amit Singh"/>
    <x v="1"/>
    <x v="0"/>
    <s v="Telangana"/>
    <s v="Hyderabad"/>
    <x v="0"/>
    <s v="Accessories"/>
    <s v="USB Hub"/>
    <n v="2"/>
    <n v="800"/>
    <n v="0"/>
    <n v="1600"/>
    <n v="406.68"/>
    <n v="372.62"/>
    <s v="Second Class"/>
    <m/>
    <m/>
    <n v="1600"/>
    <n v="0.25417499999999998"/>
    <s v="Normal"/>
    <s v="No Discount"/>
    <s v="Jan-2024"/>
    <n v="2024"/>
  </r>
  <r>
    <s v="ORD-1024"/>
    <s v="2024-01-11"/>
    <s v="CUST025"/>
    <s v="Aditya Bhatt"/>
    <x v="1"/>
    <x v="3"/>
    <s v="Bihar"/>
    <s v="Gaya"/>
    <x v="0"/>
    <s v="Laptops"/>
    <s v="HP Pavilion"/>
    <n v="1"/>
    <n v="50000"/>
    <n v="0"/>
    <n v="50000"/>
    <n v="8965.57"/>
    <n v="484.99"/>
    <s v="Standard Class"/>
    <m/>
    <m/>
    <n v="50000"/>
    <n v="0.17931139999999998"/>
    <s v="High Value"/>
    <s v="No Discount"/>
    <s v="Jan-2024"/>
    <n v="2024"/>
  </r>
  <r>
    <s v="ORD-1025"/>
    <s v="2024-02-13"/>
    <s v="CUST022"/>
    <s v="Shruti Agarwal"/>
    <x v="1"/>
    <x v="0"/>
    <s v="Telangana"/>
    <s v="Warangal"/>
    <x v="1"/>
    <s v="Decor"/>
    <s v="Wall Clock"/>
    <n v="2"/>
    <n v="1500"/>
    <n v="0.2"/>
    <n v="2400"/>
    <n v="271.91000000000003"/>
    <n v="249.77"/>
    <s v="First Class"/>
    <m/>
    <m/>
    <n v="2400"/>
    <n v="0.11329583333333335"/>
    <s v="Normal"/>
    <s v="High"/>
    <s v="Feb-2024"/>
    <n v="2024"/>
  </r>
  <r>
    <s v="ORD-1026"/>
    <s v="2024-02-11"/>
    <s v="CUST019"/>
    <s v="Manoj Das"/>
    <x v="1"/>
    <x v="2"/>
    <s v="Maharashtra"/>
    <s v="Pune"/>
    <x v="0"/>
    <s v="Mobiles"/>
    <s v="iPhone 14"/>
    <n v="3"/>
    <n v="75000"/>
    <n v="0.2"/>
    <n v="180000"/>
    <n v="34416.1"/>
    <n v="180.55"/>
    <s v="Same Day"/>
    <m/>
    <m/>
    <n v="180000"/>
    <n v="0.19120055555555554"/>
    <s v="High Value"/>
    <s v="High"/>
    <s v="Feb-2024"/>
    <n v="2024"/>
  </r>
  <r>
    <s v="ORD-1027"/>
    <s v="2024-02-14"/>
    <s v="CUST003"/>
    <s v="Rohit Kumar"/>
    <x v="1"/>
    <x v="3"/>
    <s v="West Bengal"/>
    <s v="Siliguri"/>
    <x v="1"/>
    <s v="Appliances"/>
    <s v="Electric Kettle"/>
    <n v="3"/>
    <n v="1800"/>
    <n v="0.2"/>
    <n v="4320"/>
    <n v="1061.9000000000001"/>
    <n v="65.56"/>
    <s v="First Class"/>
    <m/>
    <m/>
    <n v="4320"/>
    <n v="0.24581018518518521"/>
    <s v="Normal"/>
    <s v="High"/>
    <s v="Feb-2024"/>
    <n v="2024"/>
  </r>
  <r>
    <s v="ORD-1028"/>
    <s v="2024-02-20"/>
    <s v="CUST008"/>
    <s v="Anita Mehta"/>
    <x v="0"/>
    <x v="0"/>
    <s v="Telangana"/>
    <s v="Hyderabad"/>
    <x v="2"/>
    <s v="Kids"/>
    <s v="Kids Shoes"/>
    <n v="4"/>
    <n v="1000"/>
    <n v="0.1"/>
    <n v="3600"/>
    <n v="803.24"/>
    <n v="398.63"/>
    <s v="Second Class"/>
    <m/>
    <m/>
    <n v="3600"/>
    <n v="0.22312222222222222"/>
    <s v="Normal"/>
    <s v="Medium"/>
    <s v="Feb-2024"/>
    <n v="2024"/>
  </r>
  <r>
    <s v="ORD-1029"/>
    <s v="2024-02-17"/>
    <s v="CUST014"/>
    <s v="Divya Chauhan"/>
    <x v="1"/>
    <x v="0"/>
    <s v="Karnataka"/>
    <s v="Mangaluru"/>
    <x v="2"/>
    <s v="Men"/>
    <s v="Men Kurta"/>
    <n v="1"/>
    <n v="1500"/>
    <n v="0.05"/>
    <n v="1425"/>
    <n v="115.23"/>
    <n v="474.62"/>
    <s v="Second Class"/>
    <m/>
    <m/>
    <n v="1425"/>
    <n v="8.0863157894736845E-2"/>
    <s v="Normal"/>
    <s v="Low"/>
    <s v="Feb-2024"/>
    <n v="2024"/>
  </r>
  <r>
    <s v="ORD-1030"/>
    <s v="2024-02-05"/>
    <s v="CUST006"/>
    <s v="Kavya Nair"/>
    <x v="0"/>
    <x v="3"/>
    <s v="West Bengal"/>
    <s v="Asansol"/>
    <x v="0"/>
    <s v="Accessories"/>
    <s v="USB Hub"/>
    <n v="2"/>
    <n v="800"/>
    <n v="0"/>
    <n v="1600"/>
    <n v="426.45"/>
    <n v="66.02"/>
    <s v="Same Day"/>
    <m/>
    <m/>
    <n v="1600"/>
    <n v="0.26653125"/>
    <s v="Normal"/>
    <s v="No Discount"/>
    <s v="Feb-2024"/>
    <n v="2024"/>
  </r>
  <r>
    <s v="ORD-1031"/>
    <s v="2024-02-15"/>
    <s v="CUST003"/>
    <s v="Rohit Kumar"/>
    <x v="1"/>
    <x v="0"/>
    <s v="Tamil Nadu"/>
    <s v="Coimbatore"/>
    <x v="0"/>
    <s v="Laptops"/>
    <s v="Asus VivoBook"/>
    <n v="1"/>
    <n v="42000"/>
    <n v="0"/>
    <n v="42000"/>
    <n v="7576.48"/>
    <n v="154.68"/>
    <s v="Same Day"/>
    <m/>
    <m/>
    <n v="42000"/>
    <n v="0.18039238095238094"/>
    <s v="High Value"/>
    <s v="No Discount"/>
    <s v="Feb-2024"/>
    <n v="2024"/>
  </r>
  <r>
    <s v="ORD-1032"/>
    <s v="2024-02-07"/>
    <s v="CUST023"/>
    <s v="Ravi Shankar"/>
    <x v="1"/>
    <x v="2"/>
    <s v="Rajasthan"/>
    <s v="Jaipur"/>
    <x v="0"/>
    <s v="Mobiles"/>
    <s v="Redmi Note 12"/>
    <n v="2"/>
    <n v="18000"/>
    <n v="0"/>
    <n v="36000"/>
    <n v="8934.49"/>
    <n v="165.44"/>
    <s v="Standard Class"/>
    <m/>
    <m/>
    <n v="36000"/>
    <n v="0.24818027777777776"/>
    <s v="High Value"/>
    <s v="No Discount"/>
    <s v="Feb-2024"/>
    <n v="2024"/>
  </r>
  <r>
    <s v="ORD-1033"/>
    <s v="2024-02-08"/>
    <s v="CUST008"/>
    <s v="Anita Mehta"/>
    <x v="0"/>
    <x v="0"/>
    <s v="Telangana"/>
    <s v="Warangal"/>
    <x v="2"/>
    <s v="Kids"/>
    <s v="Kids Jacket"/>
    <n v="1"/>
    <n v="1800"/>
    <n v="0"/>
    <n v="1800"/>
    <n v="234.18"/>
    <n v="395.2"/>
    <s v="First Class"/>
    <m/>
    <m/>
    <n v="1800"/>
    <n v="0.13009999999999999"/>
    <s v="Normal"/>
    <s v="No Discount"/>
    <s v="Feb-2024"/>
    <n v="2024"/>
  </r>
  <r>
    <s v="ORD-1034"/>
    <s v="2024-02-16"/>
    <s v="CUST007"/>
    <s v="Deepak Gupta"/>
    <x v="1"/>
    <x v="1"/>
    <s v="Delhi"/>
    <s v="Dwarka"/>
    <x v="0"/>
    <s v="Laptops"/>
    <s v="HP Pavilion"/>
    <n v="1"/>
    <n v="50000"/>
    <n v="0.15"/>
    <n v="42500"/>
    <n v="5889.25"/>
    <n v="170.7"/>
    <s v="First Class"/>
    <m/>
    <m/>
    <n v="42500"/>
    <n v="0.13857058823529411"/>
    <s v="High Value"/>
    <s v="High"/>
    <s v="Feb-2024"/>
    <n v="2024"/>
  </r>
  <r>
    <s v="ORD-1035"/>
    <s v="2024-02-01"/>
    <s v="CUST019"/>
    <s v="Manoj Das"/>
    <x v="0"/>
    <x v="3"/>
    <s v="West Bengal"/>
    <s v="Siliguri"/>
    <x v="2"/>
    <s v="Men"/>
    <s v="Men Jeans"/>
    <n v="3"/>
    <n v="2500"/>
    <n v="0.05"/>
    <n v="7125"/>
    <n v="772.77"/>
    <n v="187.28"/>
    <s v="First Class"/>
    <m/>
    <m/>
    <n v="7125"/>
    <n v="0.10845894736842104"/>
    <s v="Normal"/>
    <s v="Low"/>
    <s v="Feb-2024"/>
    <n v="2024"/>
  </r>
  <r>
    <s v="ORD-1036"/>
    <s v="2024-02-07"/>
    <s v="CUST015"/>
    <s v="Nikhil Bose"/>
    <x v="1"/>
    <x v="1"/>
    <s v="Uttar Pradesh"/>
    <s v="Noida"/>
    <x v="0"/>
    <s v="Accessories"/>
    <s v="Wireless Earbuds"/>
    <n v="4"/>
    <n v="3500"/>
    <n v="0"/>
    <n v="14000"/>
    <n v="2124.7399999999998"/>
    <n v="193.09"/>
    <s v="Same Day"/>
    <m/>
    <m/>
    <n v="14000"/>
    <n v="0.15176714285714285"/>
    <s v="High Value"/>
    <s v="No Discount"/>
    <s v="Feb-2024"/>
    <n v="2024"/>
  </r>
  <r>
    <s v="ORD-1037"/>
    <s v="2024-02-08"/>
    <s v="CUST018"/>
    <s v="Riya Kapoor"/>
    <x v="1"/>
    <x v="1"/>
    <s v="Delhi"/>
    <s v="New Delhi"/>
    <x v="0"/>
    <s v="Mobiles"/>
    <s v="Samsung S23"/>
    <n v="3"/>
    <n v="55000"/>
    <n v="0.1"/>
    <n v="148500"/>
    <n v="19480.810000000001"/>
    <n v="473.64"/>
    <s v="Standard Class"/>
    <m/>
    <m/>
    <n v="148500"/>
    <n v="0.13118390572390573"/>
    <s v="High Value"/>
    <s v="Medium"/>
    <s v="Feb-2024"/>
    <n v="2024"/>
  </r>
  <r>
    <s v="ORD-1038"/>
    <s v="2024-02-14"/>
    <s v="CUST004"/>
    <s v="Sneha Verma"/>
    <x v="0"/>
    <x v="2"/>
    <s v="Maharashtra"/>
    <s v="Nagpur"/>
    <x v="1"/>
    <s v="Appliances"/>
    <s v="Toaster"/>
    <n v="4"/>
    <n v="2200"/>
    <n v="0.1"/>
    <n v="7920"/>
    <n v="2021.31"/>
    <n v="395.45"/>
    <s v="First Class"/>
    <m/>
    <m/>
    <n v="7920"/>
    <n v="0.25521590909090908"/>
    <s v="Normal"/>
    <s v="Medium"/>
    <s v="Feb-2024"/>
    <n v="2024"/>
  </r>
  <r>
    <s v="ORD-1039"/>
    <s v="2024-02-11"/>
    <s v="CUST023"/>
    <s v="Ravi Shankar"/>
    <x v="2"/>
    <x v="1"/>
    <s v="Uttar Pradesh"/>
    <s v="Noida"/>
    <x v="0"/>
    <s v="Mobiles"/>
    <s v="Samsung S23"/>
    <n v="3"/>
    <n v="55000"/>
    <n v="0"/>
    <n v="165000"/>
    <n v="33690.32"/>
    <n v="171.94"/>
    <s v="First Class"/>
    <m/>
    <m/>
    <n v="165000"/>
    <n v="0.20418375757575757"/>
    <s v="High Value"/>
    <s v="No Discount"/>
    <s v="Feb-2024"/>
    <n v="2024"/>
  </r>
  <r>
    <s v="ORD-1040"/>
    <s v="2024-02-20"/>
    <s v="CUST020"/>
    <s v="Geeta Mishra"/>
    <x v="1"/>
    <x v="0"/>
    <s v="Tamil Nadu"/>
    <s v="Madurai"/>
    <x v="2"/>
    <s v="Kids"/>
    <s v="Kids T-Shirt"/>
    <n v="5"/>
    <n v="600"/>
    <n v="0.15"/>
    <n v="2550"/>
    <n v="337.58"/>
    <n v="399.52"/>
    <s v="Standard Class"/>
    <m/>
    <m/>
    <n v="2550"/>
    <n v="0.1323843137254902"/>
    <s v="Normal"/>
    <s v="High"/>
    <s v="Feb-2024"/>
    <n v="2024"/>
  </r>
  <r>
    <s v="ORD-1041"/>
    <s v="2024-02-24"/>
    <s v="CUST001"/>
    <s v="Aarav Sharma"/>
    <x v="2"/>
    <x v="2"/>
    <s v="Rajasthan"/>
    <s v="Jodhpur"/>
    <x v="2"/>
    <s v="Women"/>
    <s v="Women Blazer"/>
    <n v="2"/>
    <n v="3200"/>
    <n v="0.1"/>
    <n v="5760"/>
    <n v="1259.9100000000001"/>
    <n v="465.17"/>
    <s v="Standard Class"/>
    <m/>
    <m/>
    <n v="5760"/>
    <n v="0.21873437500000001"/>
    <s v="Normal"/>
    <s v="Medium"/>
    <s v="Feb-2024"/>
    <n v="2024"/>
  </r>
  <r>
    <s v="ORD-1042"/>
    <s v="2024-02-10"/>
    <s v="CUST013"/>
    <s v="Sanjay Yadav"/>
    <x v="1"/>
    <x v="1"/>
    <s v="Punjab"/>
    <s v="Ludhiana"/>
    <x v="2"/>
    <s v="Kids"/>
    <s v="Kids Shoes"/>
    <n v="3"/>
    <n v="1000"/>
    <n v="0.1"/>
    <n v="2700"/>
    <n v="261.95999999999998"/>
    <n v="58.93"/>
    <s v="Standard Class"/>
    <m/>
    <m/>
    <n v="2700"/>
    <n v="9.7022222222222218E-2"/>
    <s v="Normal"/>
    <s v="Medium"/>
    <s v="Feb-2024"/>
    <n v="2024"/>
  </r>
  <r>
    <s v="ORD-1043"/>
    <s v="2024-02-21"/>
    <s v="CUST005"/>
    <s v="Amit Singh"/>
    <x v="2"/>
    <x v="0"/>
    <s v="Tamil Nadu"/>
    <s v="Madurai"/>
    <x v="1"/>
    <s v="Decor"/>
    <s v="Table Lamp"/>
    <n v="1"/>
    <n v="1800"/>
    <n v="0"/>
    <n v="1800"/>
    <n v="187.69"/>
    <n v="194.19"/>
    <s v="Second Class"/>
    <m/>
    <m/>
    <n v="1800"/>
    <n v="0.10427222222222222"/>
    <s v="Normal"/>
    <s v="No Discount"/>
    <s v="Feb-2024"/>
    <n v="2024"/>
  </r>
  <r>
    <s v="ORD-1044"/>
    <s v="2024-02-22"/>
    <s v="CUST021"/>
    <s v="Karan Oberoi"/>
    <x v="1"/>
    <x v="1"/>
    <s v="Uttar Pradesh"/>
    <s v="Agra"/>
    <x v="0"/>
    <s v="Mobiles"/>
    <s v="OnePlus 11"/>
    <n v="2"/>
    <n v="40000"/>
    <n v="0.15"/>
    <n v="68000"/>
    <n v="11089.05"/>
    <n v="189.39"/>
    <s v="Second Class"/>
    <m/>
    <m/>
    <n v="68000"/>
    <n v="0.16307426470588235"/>
    <s v="High Value"/>
    <s v="High"/>
    <s v="Feb-2024"/>
    <n v="2024"/>
  </r>
  <r>
    <s v="ORD-1045"/>
    <s v="2024-02-25"/>
    <s v="CUST014"/>
    <s v="Divya Chauhan"/>
    <x v="2"/>
    <x v="1"/>
    <s v="Delhi"/>
    <s v="Dwarka"/>
    <x v="1"/>
    <s v="Appliances"/>
    <s v="Electric Kettle"/>
    <n v="2"/>
    <n v="1800"/>
    <n v="0.2"/>
    <n v="2880"/>
    <n v="388.3"/>
    <n v="105.64"/>
    <s v="Standard Class"/>
    <m/>
    <m/>
    <n v="2880"/>
    <n v="0.1348263888888889"/>
    <s v="Normal"/>
    <s v="High"/>
    <s v="Feb-2024"/>
    <n v="2024"/>
  </r>
  <r>
    <s v="ORD-1046"/>
    <s v="2024-03-16"/>
    <s v="CUST013"/>
    <s v="Sanjay Yadav"/>
    <x v="1"/>
    <x v="3"/>
    <s v="Bihar"/>
    <s v="Gaya"/>
    <x v="0"/>
    <s v="Accessories"/>
    <s v="Power Bank"/>
    <n v="4"/>
    <n v="1200"/>
    <n v="0"/>
    <n v="4800"/>
    <n v="864.1"/>
    <n v="335.53"/>
    <s v="Same Day"/>
    <m/>
    <m/>
    <n v="4800"/>
    <n v="0.18002083333333332"/>
    <s v="Normal"/>
    <s v="No Discount"/>
    <s v="Mar-2024"/>
    <n v="2024"/>
  </r>
  <r>
    <s v="ORD-1047"/>
    <s v="2024-03-10"/>
    <s v="CUST005"/>
    <s v="Amit Singh"/>
    <x v="1"/>
    <x v="3"/>
    <s v="Bihar"/>
    <s v="Patna"/>
    <x v="1"/>
    <s v="Furniture"/>
    <s v="Bed Frame"/>
    <n v="3"/>
    <n v="18000"/>
    <n v="0.1"/>
    <n v="48600"/>
    <n v="8903.9699999999993"/>
    <n v="152.06"/>
    <s v="Same Day"/>
    <m/>
    <m/>
    <n v="48600"/>
    <n v="0.18320925925925924"/>
    <s v="High Value"/>
    <s v="Medium"/>
    <s v="Mar-2024"/>
    <n v="2024"/>
  </r>
  <r>
    <s v="ORD-1048"/>
    <s v="2024-03-26"/>
    <s v="CUST005"/>
    <s v="Amit Singh"/>
    <x v="0"/>
    <x v="1"/>
    <s v="Uttar Pradesh"/>
    <s v="Kanpur"/>
    <x v="1"/>
    <s v="Furniture"/>
    <s v="Office Chair"/>
    <n v="4"/>
    <n v="8500"/>
    <n v="0"/>
    <n v="34000"/>
    <n v="5615.16"/>
    <n v="98"/>
    <s v="Standard Class"/>
    <m/>
    <m/>
    <n v="34000"/>
    <n v="0.16515176470588236"/>
    <s v="High Value"/>
    <s v="No Discount"/>
    <s v="Mar-2024"/>
    <n v="2024"/>
  </r>
  <r>
    <s v="ORD-1049"/>
    <s v="2024-03-07"/>
    <s v="CUST003"/>
    <s v="Rohit Kumar"/>
    <x v="1"/>
    <x v="3"/>
    <s v="West Bengal"/>
    <s v="Kolkata"/>
    <x v="0"/>
    <s v="Accessories"/>
    <s v="Power Bank"/>
    <n v="3"/>
    <n v="1200"/>
    <n v="0"/>
    <n v="3600"/>
    <n v="882.87"/>
    <n v="354.47"/>
    <s v="Second Class"/>
    <m/>
    <m/>
    <n v="3600"/>
    <n v="0.24524166666666666"/>
    <s v="Normal"/>
    <s v="No Discount"/>
    <s v="Mar-2024"/>
    <n v="2024"/>
  </r>
  <r>
    <s v="ORD-1050"/>
    <s v="2024-03-03"/>
    <s v="CUST020"/>
    <s v="Geeta Mishra"/>
    <x v="1"/>
    <x v="3"/>
    <s v="West Bengal"/>
    <s v="Kolkata"/>
    <x v="2"/>
    <s v="Women"/>
    <s v="Women Saree"/>
    <n v="5"/>
    <n v="3500"/>
    <n v="0"/>
    <n v="17500"/>
    <n v="2950.52"/>
    <n v="484.85"/>
    <s v="Same Day"/>
    <m/>
    <m/>
    <n v="17500"/>
    <n v="0.16860114285714287"/>
    <s v="High Value"/>
    <s v="No Discount"/>
    <s v="Mar-2024"/>
    <n v="2024"/>
  </r>
  <r>
    <s v="ORD-1051"/>
    <s v="2024-03-18"/>
    <s v="CUST020"/>
    <s v="Geeta Mishra"/>
    <x v="2"/>
    <x v="0"/>
    <s v="Tamil Nadu"/>
    <s v="Chennai"/>
    <x v="0"/>
    <s v="Accessories"/>
    <s v="Power Bank"/>
    <n v="5"/>
    <n v="1200"/>
    <n v="0.15"/>
    <n v="5100"/>
    <n v="1340.21"/>
    <n v="432.87"/>
    <s v="Same Day"/>
    <m/>
    <m/>
    <n v="5100"/>
    <n v="0.26278627450980391"/>
    <s v="Normal"/>
    <s v="High"/>
    <s v="Mar-2024"/>
    <n v="2024"/>
  </r>
  <r>
    <s v="ORD-1052"/>
    <s v="2024-03-23"/>
    <s v="CUST016"/>
    <s v="Sunita Pandey"/>
    <x v="1"/>
    <x v="3"/>
    <s v="Bihar"/>
    <s v="Patna"/>
    <x v="1"/>
    <s v="Decor"/>
    <s v="Table Lamp"/>
    <n v="3"/>
    <n v="1800"/>
    <n v="0"/>
    <n v="5400"/>
    <n v="449.73"/>
    <n v="317.07"/>
    <s v="Second Class"/>
    <m/>
    <m/>
    <n v="5400"/>
    <n v="8.3283333333333334E-2"/>
    <s v="Normal"/>
    <s v="No Discount"/>
    <s v="Mar-2024"/>
    <n v="2024"/>
  </r>
  <r>
    <s v="ORD-1053"/>
    <s v="2024-03-05"/>
    <s v="CUST014"/>
    <s v="Divya Chauhan"/>
    <x v="1"/>
    <x v="1"/>
    <s v="Punjab"/>
    <s v="Ludhiana"/>
    <x v="1"/>
    <s v="Decor"/>
    <s v="Cushion Set"/>
    <n v="3"/>
    <n v="1200"/>
    <n v="0"/>
    <n v="3600"/>
    <n v="686.57"/>
    <n v="361.87"/>
    <s v="Standard Class"/>
    <m/>
    <m/>
    <n v="3600"/>
    <n v="0.19071388888888891"/>
    <s v="Normal"/>
    <s v="No Discount"/>
    <s v="Mar-2024"/>
    <n v="2024"/>
  </r>
  <r>
    <s v="ORD-1054"/>
    <s v="2024-03-24"/>
    <s v="CUST018"/>
    <s v="Riya Kapoor"/>
    <x v="2"/>
    <x v="1"/>
    <s v="Punjab"/>
    <s v="Ludhiana"/>
    <x v="2"/>
    <s v="Men"/>
    <s v="Men Jeans"/>
    <n v="1"/>
    <n v="2500"/>
    <n v="0"/>
    <n v="2500"/>
    <n v="514.37"/>
    <n v="263.68"/>
    <s v="Same Day"/>
    <m/>
    <m/>
    <n v="2500"/>
    <n v="0.20574800000000001"/>
    <s v="Normal"/>
    <s v="No Discount"/>
    <s v="Mar-2024"/>
    <n v="2024"/>
  </r>
  <r>
    <s v="ORD-1055"/>
    <s v="2024-03-28"/>
    <s v="CUST018"/>
    <s v="Riya Kapoor"/>
    <x v="0"/>
    <x v="2"/>
    <s v="Gujarat"/>
    <s v="Vadodara"/>
    <x v="1"/>
    <s v="Appliances"/>
    <s v="Electric Kettle"/>
    <n v="1"/>
    <n v="1800"/>
    <n v="0"/>
    <n v="1800"/>
    <n v="497.44"/>
    <n v="208.28"/>
    <s v="Standard Class"/>
    <m/>
    <m/>
    <n v="1800"/>
    <n v="0.27635555555555558"/>
    <s v="Normal"/>
    <s v="No Discount"/>
    <s v="Mar-2024"/>
    <n v="2024"/>
  </r>
  <r>
    <s v="ORD-1056"/>
    <s v="2024-03-09"/>
    <s v="CUST022"/>
    <s v="Shruti Agarwal"/>
    <x v="1"/>
    <x v="1"/>
    <s v="Uttar Pradesh"/>
    <s v="Kanpur"/>
    <x v="2"/>
    <s v="Kids"/>
    <s v="Kids Jeans"/>
    <n v="5"/>
    <n v="1200"/>
    <n v="0"/>
    <n v="6000"/>
    <n v="1205.3"/>
    <n v="489.51"/>
    <s v="First Class"/>
    <m/>
    <m/>
    <n v="6000"/>
    <n v="0.20088333333333333"/>
    <s v="Normal"/>
    <s v="No Discount"/>
    <s v="Mar-2024"/>
    <n v="2024"/>
  </r>
  <r>
    <s v="ORD-1057"/>
    <s v="2024-03-14"/>
    <s v="CUST005"/>
    <s v="Amit Singh"/>
    <x v="1"/>
    <x v="0"/>
    <s v="Tamil Nadu"/>
    <s v="Madurai"/>
    <x v="1"/>
    <s v="Furniture"/>
    <s v="Bed Frame"/>
    <n v="5"/>
    <n v="18000"/>
    <n v="0.1"/>
    <n v="81000"/>
    <n v="10728.58"/>
    <n v="161.13"/>
    <s v="Second Class"/>
    <m/>
    <m/>
    <n v="81000"/>
    <n v="0.1324516049382716"/>
    <s v="High Value"/>
    <s v="Medium"/>
    <s v="Mar-2024"/>
    <n v="2024"/>
  </r>
  <r>
    <s v="ORD-1058"/>
    <s v="2024-03-09"/>
    <s v="CUST010"/>
    <s v="Pooja Reddy"/>
    <x v="2"/>
    <x v="2"/>
    <s v="Maharashtra"/>
    <s v="Pune"/>
    <x v="0"/>
    <s v="Laptops"/>
    <s v="HP Pavilion"/>
    <n v="4"/>
    <n v="50000"/>
    <n v="0.15"/>
    <n v="170000"/>
    <n v="15854.03"/>
    <n v="445.87"/>
    <s v="Second Class"/>
    <m/>
    <m/>
    <n v="170000"/>
    <n v="9.3259000000000009E-2"/>
    <s v="High Value"/>
    <s v="High"/>
    <s v="Mar-2024"/>
    <n v="2024"/>
  </r>
  <r>
    <s v="ORD-1059"/>
    <s v="2024-03-25"/>
    <s v="CUST017"/>
    <s v="Arjun Malhotra"/>
    <x v="1"/>
    <x v="0"/>
    <s v="Tamil Nadu"/>
    <s v="Chennai"/>
    <x v="2"/>
    <s v="Kids"/>
    <s v="Kids Jeans"/>
    <n v="3"/>
    <n v="1200"/>
    <n v="0.2"/>
    <n v="2880"/>
    <n v="656.84"/>
    <n v="489.72"/>
    <s v="Standard Class"/>
    <m/>
    <m/>
    <n v="2880"/>
    <n v="0.22806944444444446"/>
    <s v="Normal"/>
    <s v="High"/>
    <s v="Mar-2024"/>
    <n v="2024"/>
  </r>
  <r>
    <s v="ORD-1060"/>
    <s v="2024-03-01"/>
    <s v="CUST007"/>
    <s v="Deepak Gupta"/>
    <x v="0"/>
    <x v="1"/>
    <s v="Uttar Pradesh"/>
    <s v="Noida"/>
    <x v="1"/>
    <s v="Decor"/>
    <s v="Curtains"/>
    <n v="4"/>
    <n v="2500"/>
    <n v="0.15"/>
    <n v="8500"/>
    <n v="1901"/>
    <n v="147.47999999999999"/>
    <s v="Standard Class"/>
    <m/>
    <m/>
    <n v="8500"/>
    <n v="0.22364705882352942"/>
    <s v="Normal"/>
    <s v="High"/>
    <s v="Mar-2024"/>
    <n v="2024"/>
  </r>
  <r>
    <s v="ORD-1061"/>
    <s v="2024-03-20"/>
    <s v="CUST008"/>
    <s v="Anita Mehta"/>
    <x v="1"/>
    <x v="2"/>
    <s v="Maharashtra"/>
    <s v="Mumbai"/>
    <x v="1"/>
    <s v="Appliances"/>
    <s v="Electric Kettle"/>
    <n v="5"/>
    <n v="1800"/>
    <n v="0"/>
    <n v="9000"/>
    <n v="2106.34"/>
    <n v="375.04"/>
    <s v="Standard Class"/>
    <m/>
    <m/>
    <n v="9000"/>
    <n v="0.23403777777777779"/>
    <s v="Normal"/>
    <s v="No Discount"/>
    <s v="Mar-2024"/>
    <n v="2024"/>
  </r>
  <r>
    <s v="ORD-1062"/>
    <s v="2024-03-10"/>
    <s v="CUST002"/>
    <s v="Priya Patel"/>
    <x v="0"/>
    <x v="1"/>
    <s v="Punjab"/>
    <s v="Amritsar"/>
    <x v="1"/>
    <s v="Appliances"/>
    <s v="Electric Kettle"/>
    <n v="4"/>
    <n v="1800"/>
    <n v="0.2"/>
    <n v="5760"/>
    <n v="617.67999999999995"/>
    <n v="308.25"/>
    <s v="Second Class"/>
    <m/>
    <m/>
    <n v="5760"/>
    <n v="0.1072361111111111"/>
    <s v="Normal"/>
    <s v="High"/>
    <s v="Mar-2024"/>
    <n v="2024"/>
  </r>
  <r>
    <s v="ORD-1063"/>
    <s v="2024-03-23"/>
    <s v="CUST002"/>
    <s v="Priya Patel"/>
    <x v="2"/>
    <x v="3"/>
    <s v="Bihar"/>
    <s v="Patna"/>
    <x v="1"/>
    <s v="Appliances"/>
    <s v="Electric Kettle"/>
    <n v="2"/>
    <n v="1800"/>
    <n v="0.1"/>
    <n v="3240"/>
    <n v="423.83"/>
    <n v="428.38"/>
    <s v="Same Day"/>
    <m/>
    <m/>
    <n v="3240"/>
    <n v="0.13081172839506172"/>
    <s v="Normal"/>
    <s v="Medium"/>
    <s v="Mar-2024"/>
    <n v="2024"/>
  </r>
  <r>
    <s v="ORD-1064"/>
    <s v="2024-03-23"/>
    <s v="CUST014"/>
    <s v="Divya Chauhan"/>
    <x v="0"/>
    <x v="3"/>
    <s v="Bihar"/>
    <s v="Gaya"/>
    <x v="2"/>
    <s v="Men"/>
    <s v="Men Kurta"/>
    <n v="2"/>
    <n v="1500"/>
    <n v="0.2"/>
    <n v="2400"/>
    <n v="660.24"/>
    <n v="366.06"/>
    <s v="Second Class"/>
    <m/>
    <m/>
    <n v="2400"/>
    <n v="0.27510000000000001"/>
    <s v="Normal"/>
    <s v="High"/>
    <s v="Mar-2024"/>
    <n v="2024"/>
  </r>
  <r>
    <s v="ORD-1065"/>
    <s v="2024-03-06"/>
    <s v="CUST022"/>
    <s v="Shruti Agarwal"/>
    <x v="0"/>
    <x v="1"/>
    <s v="Delhi"/>
    <s v="Rohini"/>
    <x v="0"/>
    <s v="Laptops"/>
    <s v="Lenovo IdeaPad"/>
    <n v="3"/>
    <n v="45000"/>
    <n v="0.05"/>
    <n v="128250"/>
    <n v="19454.830000000002"/>
    <n v="122.61"/>
    <s v="First Class"/>
    <m/>
    <m/>
    <n v="128250"/>
    <n v="0.15169458089668617"/>
    <s v="High Value"/>
    <s v="Low"/>
    <s v="Mar-2024"/>
    <n v="2024"/>
  </r>
  <r>
    <s v="ORD-1066"/>
    <s v="2024-03-12"/>
    <s v="CUST006"/>
    <s v="Kavya Nair"/>
    <x v="1"/>
    <x v="0"/>
    <s v="Telangana"/>
    <s v="Warangal"/>
    <x v="2"/>
    <s v="Women"/>
    <s v="Women Shoes"/>
    <n v="3"/>
    <n v="2400"/>
    <n v="0.15"/>
    <n v="6120"/>
    <n v="1262.69"/>
    <n v="197.48"/>
    <s v="Second Class"/>
    <m/>
    <m/>
    <n v="6120"/>
    <n v="0.20632189542483662"/>
    <s v="Normal"/>
    <s v="High"/>
    <s v="Mar-2024"/>
    <n v="2024"/>
  </r>
  <r>
    <s v="ORD-1067"/>
    <s v="2024-03-23"/>
    <s v="CUST020"/>
    <s v="Geeta Mishra"/>
    <x v="1"/>
    <x v="2"/>
    <s v="Rajasthan"/>
    <s v="Jaipur"/>
    <x v="2"/>
    <s v="Men"/>
    <s v="Men Kurta"/>
    <n v="1"/>
    <n v="1500"/>
    <n v="0.2"/>
    <n v="1200"/>
    <n v="261.02999999999997"/>
    <n v="493.42"/>
    <s v="Same Day"/>
    <m/>
    <m/>
    <n v="1200"/>
    <n v="0.21752499999999997"/>
    <s v="Normal"/>
    <s v="High"/>
    <s v="Mar-2024"/>
    <n v="2024"/>
  </r>
  <r>
    <s v="ORD-1068"/>
    <s v="2024-04-11"/>
    <s v="CUST011"/>
    <s v="Rahul Tiwari"/>
    <x v="1"/>
    <x v="1"/>
    <s v="Delhi"/>
    <s v="New Delhi"/>
    <x v="1"/>
    <s v="Furniture"/>
    <s v="Sofa"/>
    <n v="2"/>
    <n v="25000"/>
    <n v="0"/>
    <n v="50000"/>
    <n v="11122.31"/>
    <n v="481.7"/>
    <s v="Second Class"/>
    <m/>
    <m/>
    <n v="50000"/>
    <n v="0.22244619999999998"/>
    <s v="High Value"/>
    <s v="No Discount"/>
    <s v="Apr-2024"/>
    <n v="2024"/>
  </r>
  <r>
    <s v="ORD-1069"/>
    <s v="2024-04-11"/>
    <s v="CUST003"/>
    <s v="Rohit Kumar"/>
    <x v="1"/>
    <x v="1"/>
    <s v="Punjab"/>
    <s v="Amritsar"/>
    <x v="0"/>
    <s v="Accessories"/>
    <s v="USB Hub"/>
    <n v="4"/>
    <n v="800"/>
    <n v="0"/>
    <n v="3200"/>
    <n v="722.61"/>
    <n v="167.82"/>
    <s v="First Class"/>
    <m/>
    <m/>
    <n v="3200"/>
    <n v="0.22581562499999999"/>
    <s v="Normal"/>
    <s v="No Discount"/>
    <s v="Apr-2024"/>
    <n v="2024"/>
  </r>
  <r>
    <s v="ORD-1070"/>
    <s v="2024-04-17"/>
    <s v="CUST001"/>
    <s v="Aarav Sharma"/>
    <x v="1"/>
    <x v="2"/>
    <s v="Rajasthan"/>
    <s v="Jodhpur"/>
    <x v="2"/>
    <s v="Women"/>
    <s v="Women Kurti"/>
    <n v="5"/>
    <n v="900"/>
    <n v="0"/>
    <n v="4500"/>
    <n v="793.09"/>
    <n v="218.47"/>
    <s v="Second Class"/>
    <m/>
    <m/>
    <n v="4500"/>
    <n v="0.17624222222222222"/>
    <s v="Normal"/>
    <s v="No Discount"/>
    <s v="Apr-2024"/>
    <n v="2024"/>
  </r>
  <r>
    <s v="ORD-1071"/>
    <s v="2024-04-16"/>
    <s v="CUST015"/>
    <s v="Nikhil Bose"/>
    <x v="2"/>
    <x v="0"/>
    <s v="Tamil Nadu"/>
    <s v="Madurai"/>
    <x v="1"/>
    <s v="Appliances"/>
    <s v="Induction Cooktop"/>
    <n v="5"/>
    <n v="4000"/>
    <n v="0"/>
    <n v="20000"/>
    <n v="3743.01"/>
    <n v="326.58999999999997"/>
    <s v="Standard Class"/>
    <m/>
    <m/>
    <n v="20000"/>
    <n v="0.1871505"/>
    <s v="High Value"/>
    <s v="No Discount"/>
    <s v="Apr-2024"/>
    <n v="2024"/>
  </r>
  <r>
    <s v="ORD-1072"/>
    <s v="2024-04-16"/>
    <s v="CUST002"/>
    <s v="Priya Patel"/>
    <x v="0"/>
    <x v="2"/>
    <s v="Maharashtra"/>
    <s v="Mumbai"/>
    <x v="2"/>
    <s v="Women"/>
    <s v="Women Dress"/>
    <n v="4"/>
    <n v="2200"/>
    <n v="0.05"/>
    <n v="8360"/>
    <n v="2154.6999999999998"/>
    <n v="191.47"/>
    <s v="Standard Class"/>
    <m/>
    <m/>
    <n v="8360"/>
    <n v="0.25773923444976077"/>
    <s v="Normal"/>
    <s v="Low"/>
    <s v="Apr-2024"/>
    <n v="2024"/>
  </r>
  <r>
    <s v="ORD-1073"/>
    <s v="2024-04-24"/>
    <s v="CUST007"/>
    <s v="Deepak Gupta"/>
    <x v="1"/>
    <x v="1"/>
    <s v="Punjab"/>
    <s v="Ludhiana"/>
    <x v="1"/>
    <s v="Furniture"/>
    <s v="Office Chair"/>
    <n v="2"/>
    <n v="8500"/>
    <n v="0.1"/>
    <n v="15300"/>
    <n v="3502.88"/>
    <n v="110.23"/>
    <s v="Second Class"/>
    <m/>
    <m/>
    <n v="15300"/>
    <n v="0.22894640522875817"/>
    <s v="High Value"/>
    <s v="Medium"/>
    <s v="Apr-2024"/>
    <n v="2024"/>
  </r>
  <r>
    <s v="ORD-1074"/>
    <s v="2024-04-25"/>
    <s v="CUST025"/>
    <s v="Aditya Bhatt"/>
    <x v="2"/>
    <x v="1"/>
    <s v="Uttar Pradesh"/>
    <s v="Lucknow"/>
    <x v="0"/>
    <s v="Mobiles"/>
    <s v="iPhone 14"/>
    <n v="2"/>
    <n v="75000"/>
    <n v="0"/>
    <n v="150000"/>
    <n v="40185.31"/>
    <n v="497.39"/>
    <s v="Second Class"/>
    <m/>
    <m/>
    <n v="150000"/>
    <n v="0.26790206666666666"/>
    <s v="High Value"/>
    <s v="No Discount"/>
    <s v="Apr-2024"/>
    <n v="2024"/>
  </r>
  <r>
    <s v="ORD-1075"/>
    <s v="2024-04-17"/>
    <s v="CUST025"/>
    <s v="Aditya Bhatt"/>
    <x v="1"/>
    <x v="0"/>
    <s v="Tamil Nadu"/>
    <s v="Coimbatore"/>
    <x v="2"/>
    <s v="Women"/>
    <s v="Women Saree"/>
    <n v="3"/>
    <n v="3500"/>
    <n v="0"/>
    <n v="10500"/>
    <n v="1352.16"/>
    <n v="57.83"/>
    <s v="Same Day"/>
    <m/>
    <m/>
    <n v="10500"/>
    <n v="0.12877714285714287"/>
    <s v="High Value"/>
    <s v="No Discount"/>
    <s v="Apr-2024"/>
    <n v="2024"/>
  </r>
  <r>
    <s v="ORD-1076"/>
    <s v="2024-04-04"/>
    <s v="CUST006"/>
    <s v="Kavya Nair"/>
    <x v="0"/>
    <x v="1"/>
    <s v="Delhi"/>
    <s v="Dwarka"/>
    <x v="2"/>
    <s v="Women"/>
    <s v="Women Saree"/>
    <n v="2"/>
    <n v="3500"/>
    <n v="0.15"/>
    <n v="5950"/>
    <n v="1281.03"/>
    <n v="200.43"/>
    <s v="First Class"/>
    <m/>
    <m/>
    <n v="5950"/>
    <n v="0.21529915966386554"/>
    <s v="Normal"/>
    <s v="High"/>
    <s v="Apr-2024"/>
    <n v="2024"/>
  </r>
  <r>
    <s v="ORD-1077"/>
    <s v="2024-04-26"/>
    <s v="CUST021"/>
    <s v="Karan Oberoi"/>
    <x v="2"/>
    <x v="2"/>
    <s v="Maharashtra"/>
    <s v="Pune"/>
    <x v="0"/>
    <s v="Laptops"/>
    <s v="Asus VivoBook"/>
    <n v="5"/>
    <n v="42000"/>
    <n v="0"/>
    <n v="210000"/>
    <n v="30742.85"/>
    <n v="491.42"/>
    <s v="Standard Class"/>
    <m/>
    <m/>
    <n v="210000"/>
    <n v="0.14639452380952381"/>
    <s v="High Value"/>
    <s v="No Discount"/>
    <s v="Apr-2024"/>
    <n v="2024"/>
  </r>
  <r>
    <s v="ORD-1078"/>
    <s v="2024-04-14"/>
    <s v="CUST023"/>
    <s v="Ravi Shankar"/>
    <x v="2"/>
    <x v="1"/>
    <s v="Delhi"/>
    <s v="Dwarka"/>
    <x v="2"/>
    <s v="Women"/>
    <s v="Women Blazer"/>
    <n v="3"/>
    <n v="3200"/>
    <n v="0.15"/>
    <n v="8160"/>
    <n v="1092.76"/>
    <n v="193.96"/>
    <s v="First Class"/>
    <m/>
    <m/>
    <n v="8160"/>
    <n v="0.13391666666666666"/>
    <s v="Normal"/>
    <s v="High"/>
    <s v="Apr-2024"/>
    <n v="2024"/>
  </r>
  <r>
    <s v="ORD-1079"/>
    <s v="2024-04-13"/>
    <s v="CUST006"/>
    <s v="Kavya Nair"/>
    <x v="0"/>
    <x v="0"/>
    <s v="Telangana"/>
    <s v="Warangal"/>
    <x v="1"/>
    <s v="Furniture"/>
    <s v="Office Chair"/>
    <n v="4"/>
    <n v="8500"/>
    <n v="0"/>
    <n v="34000"/>
    <n v="8085.25"/>
    <n v="356.38"/>
    <s v="Standard Class"/>
    <m/>
    <m/>
    <n v="34000"/>
    <n v="0.23780147058823528"/>
    <s v="High Value"/>
    <s v="No Discount"/>
    <s v="Apr-2024"/>
    <n v="2024"/>
  </r>
  <r>
    <s v="ORD-1080"/>
    <s v="2024-04-12"/>
    <s v="CUST013"/>
    <s v="Sanjay Yadav"/>
    <x v="2"/>
    <x v="0"/>
    <s v="Karnataka"/>
    <s v="Bengaluru"/>
    <x v="0"/>
    <s v="Accessories"/>
    <s v="Power Bank"/>
    <n v="5"/>
    <n v="1200"/>
    <n v="0.05"/>
    <n v="5700"/>
    <n v="647.39"/>
    <n v="342.98"/>
    <s v="First Class"/>
    <m/>
    <m/>
    <n v="5700"/>
    <n v="0.11357719298245614"/>
    <s v="Normal"/>
    <s v="Low"/>
    <s v="Apr-2024"/>
    <n v="2024"/>
  </r>
  <r>
    <s v="ORD-1081"/>
    <s v="2024-04-11"/>
    <s v="CUST007"/>
    <s v="Deepak Gupta"/>
    <x v="2"/>
    <x v="3"/>
    <s v="Odisha"/>
    <s v="Bhubaneswar"/>
    <x v="0"/>
    <s v="Accessories"/>
    <s v="Bluetooth Speaker"/>
    <n v="1"/>
    <n v="4500"/>
    <n v="0.15"/>
    <n v="3825"/>
    <n v="353.28"/>
    <n v="64.819999999999993"/>
    <s v="First Class"/>
    <m/>
    <m/>
    <n v="3825"/>
    <n v="9.2360784313725477E-2"/>
    <s v="Normal"/>
    <s v="High"/>
    <s v="Apr-2024"/>
    <n v="2024"/>
  </r>
  <r>
    <s v="ORD-1082"/>
    <s v="2024-04-16"/>
    <s v="CUST005"/>
    <s v="Amit Singh"/>
    <x v="1"/>
    <x v="0"/>
    <s v="Tamil Nadu"/>
    <s v="Madurai"/>
    <x v="2"/>
    <s v="Kids"/>
    <s v="School Bag"/>
    <n v="2"/>
    <n v="1500"/>
    <n v="0"/>
    <n v="3000"/>
    <n v="795.47"/>
    <n v="78.08"/>
    <s v="First Class"/>
    <m/>
    <m/>
    <n v="3000"/>
    <n v="0.26515666666666665"/>
    <s v="Normal"/>
    <s v="No Discount"/>
    <s v="Apr-2024"/>
    <n v="2024"/>
  </r>
  <r>
    <s v="ORD-1083"/>
    <s v="2024-04-14"/>
    <s v="CUST004"/>
    <s v="Sneha Verma"/>
    <x v="0"/>
    <x v="1"/>
    <s v="Punjab"/>
    <s v="Amritsar"/>
    <x v="0"/>
    <s v="Accessories"/>
    <s v="Bluetooth Speaker"/>
    <n v="2"/>
    <n v="4500"/>
    <n v="0"/>
    <n v="9000"/>
    <n v="1601.32"/>
    <n v="211.93"/>
    <s v="Second Class"/>
    <m/>
    <m/>
    <n v="9000"/>
    <n v="0.17792444444444444"/>
    <s v="Normal"/>
    <s v="No Discount"/>
    <s v="Apr-2024"/>
    <n v="2024"/>
  </r>
  <r>
    <s v="ORD-1084"/>
    <s v="2024-04-07"/>
    <s v="CUST014"/>
    <s v="Divya Chauhan"/>
    <x v="0"/>
    <x v="2"/>
    <s v="Gujarat"/>
    <s v="Surat"/>
    <x v="0"/>
    <s v="Laptops"/>
    <s v="HP Pavilion"/>
    <n v="3"/>
    <n v="50000"/>
    <n v="0.1"/>
    <n v="135000"/>
    <n v="11810.37"/>
    <n v="148.38999999999999"/>
    <s v="First Class"/>
    <m/>
    <m/>
    <n v="135000"/>
    <n v="8.7484222222222227E-2"/>
    <s v="High Value"/>
    <s v="Medium"/>
    <s v="Apr-2024"/>
    <n v="2024"/>
  </r>
  <r>
    <s v="ORD-1085"/>
    <s v="2024-04-15"/>
    <s v="CUST024"/>
    <s v="Nisha Tiwari"/>
    <x v="1"/>
    <x v="1"/>
    <s v="Punjab"/>
    <s v="Chandigarh"/>
    <x v="1"/>
    <s v="Furniture"/>
    <s v="Study Table"/>
    <n v="1"/>
    <n v="6000"/>
    <n v="0"/>
    <n v="6000"/>
    <n v="806.46"/>
    <n v="431.78"/>
    <s v="Standard Class"/>
    <m/>
    <m/>
    <n v="6000"/>
    <n v="0.13441"/>
    <s v="Normal"/>
    <s v="No Discount"/>
    <s v="Apr-2024"/>
    <n v="2024"/>
  </r>
  <r>
    <s v="ORD-1086"/>
    <s v="2024-04-03"/>
    <s v="CUST003"/>
    <s v="Rohit Kumar"/>
    <x v="1"/>
    <x v="1"/>
    <s v="Delhi"/>
    <s v="New Delhi"/>
    <x v="0"/>
    <s v="Mobiles"/>
    <s v="iPhone 14"/>
    <n v="1"/>
    <n v="75000"/>
    <n v="0"/>
    <n v="75000"/>
    <n v="16848.88"/>
    <n v="464.24"/>
    <s v="First Class"/>
    <m/>
    <m/>
    <n v="75000"/>
    <n v="0.22465173333333335"/>
    <s v="High Value"/>
    <s v="No Discount"/>
    <s v="Apr-2024"/>
    <n v="2024"/>
  </r>
  <r>
    <s v="ORD-1087"/>
    <s v="2024-04-25"/>
    <s v="CUST012"/>
    <s v="Meera Iyer"/>
    <x v="1"/>
    <x v="2"/>
    <s v="Gujarat"/>
    <s v="Vadodara"/>
    <x v="0"/>
    <s v="Laptops"/>
    <s v="HP Pavilion"/>
    <n v="4"/>
    <n v="50000"/>
    <n v="0"/>
    <n v="200000"/>
    <n v="36503.1"/>
    <n v="194.29"/>
    <s v="Standard Class"/>
    <m/>
    <m/>
    <n v="200000"/>
    <n v="0.1825155"/>
    <s v="High Value"/>
    <s v="No Discount"/>
    <s v="Apr-2024"/>
    <n v="2024"/>
  </r>
  <r>
    <s v="ORD-1088"/>
    <s v="2024-04-12"/>
    <s v="CUST006"/>
    <s v="Kavya Nair"/>
    <x v="0"/>
    <x v="3"/>
    <s v="Bihar"/>
    <s v="Gaya"/>
    <x v="1"/>
    <s v="Furniture"/>
    <s v="Study Table"/>
    <n v="2"/>
    <n v="6000"/>
    <n v="0"/>
    <n v="12000"/>
    <n v="2196.54"/>
    <n v="192.28"/>
    <s v="Second Class"/>
    <m/>
    <m/>
    <n v="12000"/>
    <n v="0.18304499999999999"/>
    <s v="High Value"/>
    <s v="No Discount"/>
    <s v="Apr-2024"/>
    <n v="2024"/>
  </r>
  <r>
    <s v="ORD-1089"/>
    <s v="2024-04-20"/>
    <s v="CUST015"/>
    <s v="Nikhil Bose"/>
    <x v="1"/>
    <x v="3"/>
    <s v="Bihar"/>
    <s v="Gaya"/>
    <x v="1"/>
    <s v="Furniture"/>
    <s v="Office Chair"/>
    <n v="1"/>
    <n v="8500"/>
    <n v="0"/>
    <n v="8500"/>
    <n v="1496.82"/>
    <n v="103.63"/>
    <s v="Second Class"/>
    <m/>
    <m/>
    <n v="8500"/>
    <n v="0.1760964705882353"/>
    <s v="Normal"/>
    <s v="No Discount"/>
    <s v="Apr-2024"/>
    <n v="2024"/>
  </r>
  <r>
    <s v="ORD-1090"/>
    <s v="2024-04-07"/>
    <s v="CUST005"/>
    <s v="Amit Singh"/>
    <x v="1"/>
    <x v="2"/>
    <s v="Maharashtra"/>
    <s v="Nagpur"/>
    <x v="2"/>
    <s v="Men"/>
    <s v="Men Jeans"/>
    <n v="2"/>
    <n v="2500"/>
    <n v="0.2"/>
    <n v="4000"/>
    <n v="734.04"/>
    <n v="468.1"/>
    <s v="Standard Class"/>
    <m/>
    <m/>
    <n v="4000"/>
    <n v="0.18350999999999998"/>
    <s v="Normal"/>
    <s v="High"/>
    <s v="Apr-2024"/>
    <n v="2024"/>
  </r>
  <r>
    <s v="ORD-1091"/>
    <s v="2024-04-22"/>
    <s v="CUST020"/>
    <s v="Geeta Mishra"/>
    <x v="2"/>
    <x v="2"/>
    <s v="Rajasthan"/>
    <s v="Jodhpur"/>
    <x v="1"/>
    <s v="Decor"/>
    <s v="Cushion Set"/>
    <n v="5"/>
    <n v="1200"/>
    <n v="0.05"/>
    <n v="5700"/>
    <n v="604.1"/>
    <n v="396.73"/>
    <s v="Same Day"/>
    <m/>
    <m/>
    <n v="5700"/>
    <n v="0.10598245614035089"/>
    <s v="Normal"/>
    <s v="Low"/>
    <s v="Apr-2024"/>
    <n v="2024"/>
  </r>
  <r>
    <s v="ORD-1092"/>
    <s v="2024-04-18"/>
    <s v="CUST012"/>
    <s v="Meera Iyer"/>
    <x v="2"/>
    <x v="0"/>
    <s v="Telangana"/>
    <s v="Hyderabad"/>
    <x v="0"/>
    <s v="Mobiles"/>
    <s v="iPhone 14"/>
    <n v="2"/>
    <n v="75000"/>
    <n v="0.1"/>
    <n v="135000"/>
    <n v="17158.61"/>
    <n v="443.6"/>
    <s v="Second Class"/>
    <m/>
    <m/>
    <n v="135000"/>
    <n v="0.12710081481481481"/>
    <s v="High Value"/>
    <s v="Medium"/>
    <s v="Apr-2024"/>
    <n v="2024"/>
  </r>
  <r>
    <s v="ORD-1093"/>
    <s v="2024-04-17"/>
    <s v="CUST019"/>
    <s v="Manoj Das"/>
    <x v="2"/>
    <x v="3"/>
    <s v="West Bengal"/>
    <s v="Asansol"/>
    <x v="2"/>
    <s v="Men"/>
    <s v="Men Jacket"/>
    <n v="5"/>
    <n v="3500"/>
    <n v="0"/>
    <n v="17500"/>
    <n v="1652.5"/>
    <n v="139"/>
    <s v="First Class"/>
    <m/>
    <m/>
    <n v="17500"/>
    <n v="9.4428571428571431E-2"/>
    <s v="High Value"/>
    <s v="No Discount"/>
    <s v="Apr-2024"/>
    <n v="2024"/>
  </r>
  <r>
    <s v="ORD-1094"/>
    <s v="2024-05-05"/>
    <s v="CUST005"/>
    <s v="Amit Singh"/>
    <x v="0"/>
    <x v="2"/>
    <s v="Gujarat"/>
    <s v="Vadodara"/>
    <x v="2"/>
    <s v="Men"/>
    <s v="Men Jacket"/>
    <n v="3"/>
    <n v="3500"/>
    <n v="0.15"/>
    <n v="8925"/>
    <n v="1146.92"/>
    <n v="350.63"/>
    <s v="First Class"/>
    <m/>
    <m/>
    <n v="8925"/>
    <n v="0.12850644257703081"/>
    <s v="Normal"/>
    <s v="High"/>
    <s v="May-2024"/>
    <n v="2024"/>
  </r>
  <r>
    <s v="ORD-1095"/>
    <s v="2024-05-08"/>
    <s v="CUST020"/>
    <s v="Geeta Mishra"/>
    <x v="0"/>
    <x v="1"/>
    <s v="Punjab"/>
    <s v="Ludhiana"/>
    <x v="1"/>
    <s v="Decor"/>
    <s v="Photo Frame"/>
    <n v="4"/>
    <n v="600"/>
    <n v="0"/>
    <n v="2400"/>
    <n v="503.05"/>
    <n v="256.70999999999998"/>
    <s v="Second Class"/>
    <m/>
    <m/>
    <n v="2400"/>
    <n v="0.20960416666666667"/>
    <s v="Normal"/>
    <s v="No Discount"/>
    <s v="May-2024"/>
    <n v="2024"/>
  </r>
  <r>
    <s v="ORD-1096"/>
    <s v="2024-05-07"/>
    <s v="CUST020"/>
    <s v="Geeta Mishra"/>
    <x v="2"/>
    <x v="1"/>
    <s v="Punjab"/>
    <s v="Ludhiana"/>
    <x v="2"/>
    <s v="Men"/>
    <s v="Men Jacket"/>
    <n v="1"/>
    <n v="3500"/>
    <n v="0.2"/>
    <n v="2800"/>
    <n v="748.52"/>
    <n v="389"/>
    <s v="First Class"/>
    <m/>
    <m/>
    <n v="2800"/>
    <n v="0.26732857142857142"/>
    <s v="Normal"/>
    <s v="High"/>
    <s v="May-2024"/>
    <n v="2024"/>
  </r>
  <r>
    <s v="ORD-1097"/>
    <s v="2024-05-18"/>
    <s v="CUST003"/>
    <s v="Rohit Kumar"/>
    <x v="1"/>
    <x v="2"/>
    <s v="Rajasthan"/>
    <s v="Jaipur"/>
    <x v="1"/>
    <s v="Appliances"/>
    <s v="Air Fryer"/>
    <n v="2"/>
    <n v="5500"/>
    <n v="0.2"/>
    <n v="8800"/>
    <n v="746.71"/>
    <n v="280.31"/>
    <s v="Same Day"/>
    <m/>
    <m/>
    <n v="8800"/>
    <n v="8.485340909090909E-2"/>
    <s v="Normal"/>
    <s v="High"/>
    <s v="May-2024"/>
    <n v="2024"/>
  </r>
  <r>
    <s v="ORD-1098"/>
    <s v="2024-05-04"/>
    <s v="CUST020"/>
    <s v="Geeta Mishra"/>
    <x v="2"/>
    <x v="3"/>
    <s v="Bihar"/>
    <s v="Gaya"/>
    <x v="1"/>
    <s v="Decor"/>
    <s v="Curtains"/>
    <n v="1"/>
    <n v="2500"/>
    <n v="0.1"/>
    <n v="2250"/>
    <n v="217.73"/>
    <n v="310.26"/>
    <s v="First Class"/>
    <m/>
    <m/>
    <n v="2250"/>
    <n v="9.676888888888889E-2"/>
    <s v="Normal"/>
    <s v="Medium"/>
    <s v="May-2024"/>
    <n v="2024"/>
  </r>
  <r>
    <s v="ORD-1099"/>
    <s v="2024-05-08"/>
    <s v="CUST012"/>
    <s v="Meera Iyer"/>
    <x v="2"/>
    <x v="1"/>
    <s v="Punjab"/>
    <s v="Chandigarh"/>
    <x v="0"/>
    <s v="Accessories"/>
    <s v="Wireless Earbuds"/>
    <n v="2"/>
    <n v="3500"/>
    <n v="0.15"/>
    <n v="5950"/>
    <n v="766.4"/>
    <n v="178"/>
    <s v="Second Class"/>
    <m/>
    <m/>
    <n v="5950"/>
    <n v="0.12880672268907561"/>
    <s v="Normal"/>
    <s v="High"/>
    <s v="May-2024"/>
    <n v="2024"/>
  </r>
  <r>
    <s v="ORD-1100"/>
    <s v="2024-05-26"/>
    <s v="CUST008"/>
    <s v="Anita Mehta"/>
    <x v="0"/>
    <x v="2"/>
    <s v="Maharashtra"/>
    <s v="Pune"/>
    <x v="0"/>
    <s v="Laptops"/>
    <s v="MacBook Air"/>
    <n v="3"/>
    <n v="115000"/>
    <n v="0.2"/>
    <n v="276000"/>
    <n v="61846.1"/>
    <n v="129.41"/>
    <s v="Standard Class"/>
    <m/>
    <m/>
    <n v="276000"/>
    <n v="0.2240800724637681"/>
    <s v="High Value"/>
    <s v="High"/>
    <s v="May-2024"/>
    <n v="2024"/>
  </r>
  <r>
    <s v="ORD-1101"/>
    <s v="2024-05-03"/>
    <s v="CUST013"/>
    <s v="Sanjay Yadav"/>
    <x v="1"/>
    <x v="2"/>
    <s v="Rajasthan"/>
    <s v="Jaipur"/>
    <x v="0"/>
    <s v="Accessories"/>
    <s v="USB Hub"/>
    <n v="3"/>
    <n v="800"/>
    <n v="0.2"/>
    <n v="1920"/>
    <n v="194.43"/>
    <n v="450.56"/>
    <s v="First Class"/>
    <m/>
    <m/>
    <n v="1920"/>
    <n v="0.101265625"/>
    <s v="Normal"/>
    <s v="High"/>
    <s v="May-2024"/>
    <n v="2024"/>
  </r>
  <r>
    <s v="ORD-1102"/>
    <s v="2024-05-26"/>
    <s v="CUST016"/>
    <s v="Sunita Pandey"/>
    <x v="1"/>
    <x v="0"/>
    <s v="Telangana"/>
    <s v="Hyderabad"/>
    <x v="0"/>
    <s v="Laptops"/>
    <s v="HP Pavilion"/>
    <n v="5"/>
    <n v="50000"/>
    <n v="0"/>
    <n v="250000"/>
    <n v="43660.160000000003"/>
    <n v="438.57"/>
    <s v="First Class"/>
    <m/>
    <m/>
    <n v="250000"/>
    <n v="0.17464064000000001"/>
    <s v="High Value"/>
    <s v="No Discount"/>
    <s v="May-2024"/>
    <n v="2024"/>
  </r>
  <r>
    <s v="ORD-1103"/>
    <s v="2024-05-19"/>
    <s v="CUST014"/>
    <s v="Divya Chauhan"/>
    <x v="0"/>
    <x v="3"/>
    <s v="Bihar"/>
    <s v="Patna"/>
    <x v="2"/>
    <s v="Men"/>
    <s v="Men Jeans"/>
    <n v="2"/>
    <n v="2500"/>
    <n v="0.05"/>
    <n v="4750"/>
    <n v="820.95"/>
    <n v="163.68"/>
    <s v="First Class"/>
    <m/>
    <m/>
    <n v="4750"/>
    <n v="0.17283157894736842"/>
    <s v="Normal"/>
    <s v="Low"/>
    <s v="May-2024"/>
    <n v="2024"/>
  </r>
  <r>
    <s v="ORD-1104"/>
    <s v="2024-05-23"/>
    <s v="CUST013"/>
    <s v="Sanjay Yadav"/>
    <x v="2"/>
    <x v="1"/>
    <s v="Punjab"/>
    <s v="Chandigarh"/>
    <x v="0"/>
    <s v="Mobiles"/>
    <s v="Redmi Note 12"/>
    <n v="5"/>
    <n v="18000"/>
    <n v="0.15"/>
    <n v="76500"/>
    <n v="14291.83"/>
    <n v="249.01"/>
    <s v="Same Day"/>
    <m/>
    <m/>
    <n v="76500"/>
    <n v="0.18682130718954248"/>
    <s v="High Value"/>
    <s v="High"/>
    <s v="May-2024"/>
    <n v="2024"/>
  </r>
  <r>
    <s v="ORD-1105"/>
    <s v="2024-05-18"/>
    <s v="CUST002"/>
    <s v="Priya Patel"/>
    <x v="0"/>
    <x v="0"/>
    <s v="Karnataka"/>
    <s v="Mysuru"/>
    <x v="1"/>
    <s v="Decor"/>
    <s v="Curtains"/>
    <n v="4"/>
    <n v="2500"/>
    <n v="0"/>
    <n v="10000"/>
    <n v="1175.0899999999999"/>
    <n v="84.06"/>
    <s v="Same Day"/>
    <m/>
    <m/>
    <n v="10000"/>
    <n v="0.11750899999999999"/>
    <s v="Normal"/>
    <s v="No Discount"/>
    <s v="May-2024"/>
    <n v="2024"/>
  </r>
  <r>
    <s v="ORD-1106"/>
    <s v="2024-05-06"/>
    <s v="CUST005"/>
    <s v="Amit Singh"/>
    <x v="0"/>
    <x v="0"/>
    <s v="Tamil Nadu"/>
    <s v="Coimbatore"/>
    <x v="1"/>
    <s v="Decor"/>
    <s v="Cushion Set"/>
    <n v="1"/>
    <n v="1200"/>
    <n v="0.1"/>
    <n v="1080"/>
    <n v="252.23"/>
    <n v="334.92"/>
    <s v="Standard Class"/>
    <m/>
    <m/>
    <n v="1080"/>
    <n v="0.23354629629629628"/>
    <s v="Normal"/>
    <s v="Medium"/>
    <s v="May-2024"/>
    <n v="2024"/>
  </r>
  <r>
    <s v="ORD-1107"/>
    <s v="2024-05-25"/>
    <s v="CUST007"/>
    <s v="Deepak Gupta"/>
    <x v="2"/>
    <x v="2"/>
    <s v="Rajasthan"/>
    <s v="Jaipur"/>
    <x v="0"/>
    <s v="Laptops"/>
    <s v="Asus VivoBook"/>
    <n v="3"/>
    <n v="42000"/>
    <n v="0"/>
    <n v="126000"/>
    <n v="16873.07"/>
    <n v="104.95"/>
    <s v="Same Day"/>
    <m/>
    <m/>
    <n v="126000"/>
    <n v="0.13391325396825396"/>
    <s v="High Value"/>
    <s v="No Discount"/>
    <s v="May-2024"/>
    <n v="2024"/>
  </r>
  <r>
    <s v="ORD-1108"/>
    <s v="2024-05-10"/>
    <s v="CUST015"/>
    <s v="Nikhil Bose"/>
    <x v="2"/>
    <x v="2"/>
    <s v="Rajasthan"/>
    <s v="Jaipur"/>
    <x v="0"/>
    <s v="Mobiles"/>
    <s v="Vivo V27"/>
    <n v="5"/>
    <n v="22000"/>
    <n v="0"/>
    <n v="110000"/>
    <n v="20304.689999999999"/>
    <n v="458.19"/>
    <s v="First Class"/>
    <m/>
    <m/>
    <n v="110000"/>
    <n v="0.1845880909090909"/>
    <s v="High Value"/>
    <s v="No Discount"/>
    <s v="May-2024"/>
    <n v="2024"/>
  </r>
  <r>
    <s v="ORD-1109"/>
    <s v="2024-05-17"/>
    <s v="CUST010"/>
    <s v="Pooja Reddy"/>
    <x v="2"/>
    <x v="1"/>
    <s v="Punjab"/>
    <s v="Amritsar"/>
    <x v="2"/>
    <s v="Men"/>
    <s v="Men Jeans"/>
    <n v="3"/>
    <n v="2500"/>
    <n v="0.15"/>
    <n v="6375"/>
    <n v="990.21"/>
    <n v="66.42"/>
    <s v="First Class"/>
    <m/>
    <m/>
    <n v="6375"/>
    <n v="0.15532705882352943"/>
    <s v="Normal"/>
    <s v="High"/>
    <s v="May-2024"/>
    <n v="2024"/>
  </r>
  <r>
    <s v="ORD-1110"/>
    <s v="2024-05-19"/>
    <s v="CUST016"/>
    <s v="Sunita Pandey"/>
    <x v="0"/>
    <x v="2"/>
    <s v="Maharashtra"/>
    <s v="Mumbai"/>
    <x v="1"/>
    <s v="Furniture"/>
    <s v="Sofa"/>
    <n v="5"/>
    <n v="25000"/>
    <n v="0"/>
    <n v="125000"/>
    <n v="15415.49"/>
    <n v="372.01"/>
    <s v="Same Day"/>
    <m/>
    <m/>
    <n v="125000"/>
    <n v="0.12332392"/>
    <s v="High Value"/>
    <s v="No Discount"/>
    <s v="May-2024"/>
    <n v="2024"/>
  </r>
  <r>
    <s v="ORD-1111"/>
    <s v="2024-05-11"/>
    <s v="CUST004"/>
    <s v="Sneha Verma"/>
    <x v="2"/>
    <x v="1"/>
    <s v="Uttar Pradesh"/>
    <s v="Noida"/>
    <x v="0"/>
    <s v="Accessories"/>
    <s v="Smartwatch"/>
    <n v="4"/>
    <n v="8000"/>
    <n v="0"/>
    <n v="32000"/>
    <n v="7774.95"/>
    <n v="164.3"/>
    <s v="Second Class"/>
    <m/>
    <m/>
    <n v="32000"/>
    <n v="0.24296718749999999"/>
    <s v="High Value"/>
    <s v="No Discount"/>
    <s v="May-2024"/>
    <n v="2024"/>
  </r>
  <r>
    <s v="ORD-1112"/>
    <s v="2024-05-21"/>
    <s v="CUST005"/>
    <s v="Amit Singh"/>
    <x v="1"/>
    <x v="3"/>
    <s v="Odisha"/>
    <s v="Cuttack"/>
    <x v="2"/>
    <s v="Men"/>
    <s v="Men Shoes"/>
    <n v="4"/>
    <n v="2800"/>
    <n v="0.1"/>
    <n v="10080"/>
    <n v="2539.7399999999998"/>
    <n v="189.73"/>
    <s v="Same Day"/>
    <m/>
    <m/>
    <n v="10080"/>
    <n v="0.25195833333333328"/>
    <s v="High Value"/>
    <s v="Medium"/>
    <s v="May-2024"/>
    <n v="2024"/>
  </r>
  <r>
    <s v="ORD-1113"/>
    <s v="2024-05-21"/>
    <s v="CUST024"/>
    <s v="Nisha Tiwari"/>
    <x v="1"/>
    <x v="3"/>
    <s v="West Bengal"/>
    <s v="Siliguri"/>
    <x v="0"/>
    <s v="Laptops"/>
    <s v="Dell Inspiron"/>
    <n v="1"/>
    <n v="55000"/>
    <n v="0.2"/>
    <n v="44000"/>
    <n v="9584.7900000000009"/>
    <n v="244.29"/>
    <s v="Standard Class"/>
    <m/>
    <m/>
    <n v="44000"/>
    <n v="0.21783613636363638"/>
    <s v="High Value"/>
    <s v="High"/>
    <s v="May-2024"/>
    <n v="2024"/>
  </r>
  <r>
    <s v="ORD-1114"/>
    <s v="2024-05-11"/>
    <s v="CUST017"/>
    <s v="Arjun Malhotra"/>
    <x v="2"/>
    <x v="2"/>
    <s v="Rajasthan"/>
    <s v="Jodhpur"/>
    <x v="0"/>
    <s v="Accessories"/>
    <s v="Wireless Earbuds"/>
    <n v="3"/>
    <n v="3500"/>
    <n v="0.1"/>
    <n v="9450"/>
    <n v="2098.79"/>
    <n v="327.61"/>
    <s v="Second Class"/>
    <m/>
    <m/>
    <n v="9450"/>
    <n v="0.2220941798941799"/>
    <s v="Normal"/>
    <s v="Medium"/>
    <s v="May-2024"/>
    <n v="2024"/>
  </r>
  <r>
    <s v="ORD-1115"/>
    <s v="2024-05-25"/>
    <s v="CUST004"/>
    <s v="Sneha Verma"/>
    <x v="1"/>
    <x v="3"/>
    <s v="Odisha"/>
    <s v="Bhubaneswar"/>
    <x v="2"/>
    <s v="Kids"/>
    <s v="School Bag"/>
    <n v="3"/>
    <n v="1500"/>
    <n v="0"/>
    <n v="4500"/>
    <n v="1013.45"/>
    <n v="160.15"/>
    <s v="Standard Class"/>
    <m/>
    <m/>
    <n v="4500"/>
    <n v="0.22521111111111111"/>
    <s v="Normal"/>
    <s v="No Discount"/>
    <s v="May-2024"/>
    <n v="2024"/>
  </r>
  <r>
    <s v="ORD-1116"/>
    <s v="2024-05-10"/>
    <s v="CUST004"/>
    <s v="Sneha Verma"/>
    <x v="0"/>
    <x v="1"/>
    <s v="Punjab"/>
    <s v="Ludhiana"/>
    <x v="1"/>
    <s v="Furniture"/>
    <s v="Bookshelf"/>
    <n v="5"/>
    <n v="4500"/>
    <n v="0"/>
    <n v="22500"/>
    <n v="5865.44"/>
    <n v="258.08"/>
    <s v="Second Class"/>
    <m/>
    <m/>
    <n v="22500"/>
    <n v="0.26068622222222221"/>
    <s v="High Value"/>
    <s v="No Discount"/>
    <s v="May-2024"/>
    <n v="2024"/>
  </r>
  <r>
    <s v="ORD-1117"/>
    <s v="2024-06-27"/>
    <s v="CUST012"/>
    <s v="Meera Iyer"/>
    <x v="0"/>
    <x v="1"/>
    <s v="Uttar Pradesh"/>
    <s v="Agra"/>
    <x v="2"/>
    <s v="Men"/>
    <s v="Men Jeans"/>
    <n v="5"/>
    <n v="2500"/>
    <n v="0.2"/>
    <n v="10000"/>
    <n v="1781.33"/>
    <n v="134.13999999999999"/>
    <s v="First Class"/>
    <m/>
    <m/>
    <n v="10000"/>
    <n v="0.17813299999999999"/>
    <s v="Normal"/>
    <s v="High"/>
    <s v="Jun-2024"/>
    <n v="2024"/>
  </r>
  <r>
    <s v="ORD-1118"/>
    <s v="2024-06-25"/>
    <s v="CUST016"/>
    <s v="Sunita Pandey"/>
    <x v="0"/>
    <x v="1"/>
    <s v="Punjab"/>
    <s v="Amritsar"/>
    <x v="0"/>
    <s v="Accessories"/>
    <s v="Wireless Earbuds"/>
    <n v="1"/>
    <n v="3500"/>
    <n v="0"/>
    <n v="3500"/>
    <n v="521.07000000000005"/>
    <n v="251.42"/>
    <s v="Second Class"/>
    <m/>
    <m/>
    <n v="3500"/>
    <n v="0.14887714285714287"/>
    <s v="Normal"/>
    <s v="No Discount"/>
    <s v="Jun-2024"/>
    <n v="2024"/>
  </r>
  <r>
    <s v="ORD-1119"/>
    <s v="2024-06-19"/>
    <s v="CUST021"/>
    <s v="Karan Oberoi"/>
    <x v="0"/>
    <x v="2"/>
    <s v="Rajasthan"/>
    <s v="Jodhpur"/>
    <x v="0"/>
    <s v="Mobiles"/>
    <s v="Redmi Note 12"/>
    <n v="5"/>
    <n v="18000"/>
    <n v="0"/>
    <n v="90000"/>
    <n v="12755"/>
    <n v="404.75"/>
    <s v="Standard Class"/>
    <m/>
    <m/>
    <n v="90000"/>
    <n v="0.14172222222222222"/>
    <s v="High Value"/>
    <s v="No Discount"/>
    <s v="Jun-2024"/>
    <n v="2024"/>
  </r>
  <r>
    <s v="ORD-1120"/>
    <s v="2024-06-01"/>
    <s v="CUST019"/>
    <s v="Manoj Das"/>
    <x v="1"/>
    <x v="3"/>
    <s v="Odisha"/>
    <s v="Cuttack"/>
    <x v="0"/>
    <s v="Laptops"/>
    <s v="Lenovo IdeaPad"/>
    <n v="1"/>
    <n v="45000"/>
    <n v="0"/>
    <n v="45000"/>
    <n v="8831.26"/>
    <n v="81.75"/>
    <s v="First Class"/>
    <m/>
    <m/>
    <n v="45000"/>
    <n v="0.19625022222222221"/>
    <s v="High Value"/>
    <s v="No Discount"/>
    <s v="Jun-2024"/>
    <n v="2024"/>
  </r>
  <r>
    <s v="ORD-1121"/>
    <s v="2024-06-19"/>
    <s v="CUST007"/>
    <s v="Deepak Gupta"/>
    <x v="1"/>
    <x v="0"/>
    <s v="Telangana"/>
    <s v="Warangal"/>
    <x v="0"/>
    <s v="Mobiles"/>
    <s v="iPhone 14"/>
    <n v="5"/>
    <n v="75000"/>
    <n v="0"/>
    <n v="375000"/>
    <n v="84449.9"/>
    <n v="51.43"/>
    <s v="Standard Class"/>
    <m/>
    <m/>
    <n v="375000"/>
    <n v="0.22519973333333332"/>
    <s v="High Value"/>
    <s v="No Discount"/>
    <s v="Jun-2024"/>
    <n v="2024"/>
  </r>
  <r>
    <s v="ORD-1122"/>
    <s v="2024-06-14"/>
    <s v="CUST015"/>
    <s v="Nikhil Bose"/>
    <x v="2"/>
    <x v="3"/>
    <s v="West Bengal"/>
    <s v="Siliguri"/>
    <x v="0"/>
    <s v="Laptops"/>
    <s v="HP Pavilion"/>
    <n v="5"/>
    <n v="50000"/>
    <n v="0"/>
    <n v="250000"/>
    <n v="64909.52"/>
    <n v="155.21"/>
    <s v="Standard Class"/>
    <m/>
    <m/>
    <n v="250000"/>
    <n v="0.25963807999999999"/>
    <s v="High Value"/>
    <s v="No Discount"/>
    <s v="Jun-2024"/>
    <n v="2024"/>
  </r>
  <r>
    <s v="ORD-1123"/>
    <s v="2024-06-11"/>
    <s v="CUST002"/>
    <s v="Priya Patel"/>
    <x v="1"/>
    <x v="1"/>
    <s v="Delhi"/>
    <s v="Rohini"/>
    <x v="1"/>
    <s v="Decor"/>
    <s v="Wall Clock"/>
    <n v="4"/>
    <n v="1500"/>
    <n v="0"/>
    <n v="6000"/>
    <n v="748.43"/>
    <n v="304.23"/>
    <s v="Standard Class"/>
    <m/>
    <m/>
    <n v="6000"/>
    <n v="0.12473833333333333"/>
    <s v="Normal"/>
    <s v="No Discount"/>
    <s v="Jun-2024"/>
    <n v="2024"/>
  </r>
  <r>
    <s v="ORD-1124"/>
    <s v="2024-06-27"/>
    <s v="CUST020"/>
    <s v="Geeta Mishra"/>
    <x v="0"/>
    <x v="0"/>
    <s v="Tamil Nadu"/>
    <s v="Coimbatore"/>
    <x v="1"/>
    <s v="Appliances"/>
    <s v="Air Fryer"/>
    <n v="3"/>
    <n v="5500"/>
    <n v="0.05"/>
    <n v="15675"/>
    <n v="1890.78"/>
    <n v="188.79"/>
    <s v="Same Day"/>
    <m/>
    <m/>
    <n v="15675"/>
    <n v="0.12062392344497608"/>
    <s v="High Value"/>
    <s v="Low"/>
    <s v="Jun-2024"/>
    <n v="2024"/>
  </r>
  <r>
    <s v="ORD-1125"/>
    <s v="2024-06-25"/>
    <s v="CUST009"/>
    <s v="Vikram Joshi"/>
    <x v="2"/>
    <x v="2"/>
    <s v="Rajasthan"/>
    <s v="Jaipur"/>
    <x v="1"/>
    <s v="Appliances"/>
    <s v="Induction Cooktop"/>
    <n v="2"/>
    <n v="4000"/>
    <n v="0"/>
    <n v="8000"/>
    <n v="985.14"/>
    <n v="378.57"/>
    <s v="Same Day"/>
    <m/>
    <m/>
    <n v="8000"/>
    <n v="0.1231425"/>
    <s v="Normal"/>
    <s v="No Discount"/>
    <s v="Jun-2024"/>
    <n v="2024"/>
  </r>
  <r>
    <s v="ORD-1126"/>
    <s v="2024-06-28"/>
    <s v="CUST022"/>
    <s v="Shruti Agarwal"/>
    <x v="2"/>
    <x v="2"/>
    <s v="Rajasthan"/>
    <s v="Jodhpur"/>
    <x v="2"/>
    <s v="Women"/>
    <s v="Women Saree"/>
    <n v="2"/>
    <n v="3500"/>
    <n v="0"/>
    <n v="7000"/>
    <n v="803.92"/>
    <n v="93.48"/>
    <s v="Standard Class"/>
    <m/>
    <m/>
    <n v="7000"/>
    <n v="0.11484571428571427"/>
    <s v="Normal"/>
    <s v="No Discount"/>
    <s v="Jun-2024"/>
    <n v="2024"/>
  </r>
  <r>
    <s v="ORD-1127"/>
    <s v="2024-06-10"/>
    <s v="CUST014"/>
    <s v="Divya Chauhan"/>
    <x v="0"/>
    <x v="0"/>
    <s v="Tamil Nadu"/>
    <s v="Chennai"/>
    <x v="2"/>
    <s v="Men"/>
    <s v="Men Shoes"/>
    <n v="1"/>
    <n v="2800"/>
    <n v="0.05"/>
    <n v="2660"/>
    <n v="528.84"/>
    <n v="154.19"/>
    <s v="Standard Class"/>
    <m/>
    <m/>
    <n v="2660"/>
    <n v="0.198812030075188"/>
    <s v="Normal"/>
    <s v="Low"/>
    <s v="Jun-2024"/>
    <n v="2024"/>
  </r>
  <r>
    <s v="ORD-1128"/>
    <s v="2024-06-18"/>
    <s v="CUST016"/>
    <s v="Sunita Pandey"/>
    <x v="0"/>
    <x v="0"/>
    <s v="Karnataka"/>
    <s v="Bengaluru"/>
    <x v="0"/>
    <s v="Laptops"/>
    <s v="MacBook Air"/>
    <n v="5"/>
    <n v="115000"/>
    <n v="0"/>
    <n v="575000"/>
    <n v="114209.14"/>
    <n v="158.65"/>
    <s v="First Class"/>
    <m/>
    <m/>
    <n v="575000"/>
    <n v="0.19862459130434781"/>
    <s v="High Value"/>
    <s v="No Discount"/>
    <s v="Jun-2024"/>
    <n v="2024"/>
  </r>
  <r>
    <s v="ORD-1129"/>
    <s v="2024-06-23"/>
    <s v="CUST011"/>
    <s v="Rahul Tiwari"/>
    <x v="0"/>
    <x v="2"/>
    <s v="Maharashtra"/>
    <s v="Mumbai"/>
    <x v="0"/>
    <s v="Laptops"/>
    <s v="HP Pavilion"/>
    <n v="2"/>
    <n v="50000"/>
    <n v="0.1"/>
    <n v="90000"/>
    <n v="10659.77"/>
    <n v="332.92"/>
    <s v="Second Class"/>
    <m/>
    <m/>
    <n v="90000"/>
    <n v="0.11844188888888889"/>
    <s v="High Value"/>
    <s v="Medium"/>
    <s v="Jun-2024"/>
    <n v="2024"/>
  </r>
  <r>
    <s v="ORD-1130"/>
    <s v="2024-06-18"/>
    <s v="CUST018"/>
    <s v="Riya Kapoor"/>
    <x v="0"/>
    <x v="0"/>
    <s v="Telangana"/>
    <s v="Warangal"/>
    <x v="0"/>
    <s v="Laptops"/>
    <s v="HP Pavilion"/>
    <n v="1"/>
    <n v="50000"/>
    <n v="0"/>
    <n v="50000"/>
    <n v="7388.56"/>
    <n v="101.69"/>
    <s v="Second Class"/>
    <m/>
    <m/>
    <n v="50000"/>
    <n v="0.14777120000000002"/>
    <s v="High Value"/>
    <s v="No Discount"/>
    <s v="Jun-2024"/>
    <n v="2024"/>
  </r>
  <r>
    <s v="ORD-1131"/>
    <s v="2024-06-17"/>
    <s v="CUST012"/>
    <s v="Meera Iyer"/>
    <x v="0"/>
    <x v="3"/>
    <s v="Odisha"/>
    <s v="Bhubaneswar"/>
    <x v="2"/>
    <s v="Women"/>
    <s v="Women Shoes"/>
    <n v="3"/>
    <n v="2400"/>
    <n v="0.1"/>
    <n v="6480"/>
    <n v="630.48"/>
    <n v="231.5"/>
    <s v="Standard Class"/>
    <m/>
    <m/>
    <n v="6480"/>
    <n v="9.7296296296296297E-2"/>
    <s v="Normal"/>
    <s v="Medium"/>
    <s v="Jun-2024"/>
    <n v="2024"/>
  </r>
  <r>
    <s v="ORD-1132"/>
    <s v="2024-06-11"/>
    <s v="CUST020"/>
    <s v="Geeta Mishra"/>
    <x v="1"/>
    <x v="2"/>
    <s v="Rajasthan"/>
    <s v="Jaipur"/>
    <x v="2"/>
    <s v="Men"/>
    <s v="Men Jeans"/>
    <n v="4"/>
    <n v="2500"/>
    <n v="0.05"/>
    <n v="9500"/>
    <n v="1421.79"/>
    <n v="229.62"/>
    <s v="Same Day"/>
    <m/>
    <m/>
    <n v="9500"/>
    <n v="0.1496621052631579"/>
    <s v="Normal"/>
    <s v="Low"/>
    <s v="Jun-2024"/>
    <n v="2024"/>
  </r>
  <r>
    <s v="ORD-1133"/>
    <s v="2024-06-16"/>
    <s v="CUST013"/>
    <s v="Sanjay Yadav"/>
    <x v="2"/>
    <x v="2"/>
    <s v="Rajasthan"/>
    <s v="Jodhpur"/>
    <x v="0"/>
    <s v="Accessories"/>
    <s v="USB Hub"/>
    <n v="3"/>
    <n v="800"/>
    <n v="0"/>
    <n v="2400"/>
    <n v="604.21"/>
    <n v="312.62"/>
    <s v="Second Class"/>
    <m/>
    <m/>
    <n v="2400"/>
    <n v="0.25175416666666667"/>
    <s v="Normal"/>
    <s v="No Discount"/>
    <s v="Jun-2024"/>
    <n v="2024"/>
  </r>
  <r>
    <s v="ORD-1134"/>
    <s v="2024-06-16"/>
    <s v="CUST010"/>
    <s v="Pooja Reddy"/>
    <x v="1"/>
    <x v="2"/>
    <s v="Rajasthan"/>
    <s v="Jodhpur"/>
    <x v="0"/>
    <s v="Mobiles"/>
    <s v="Vivo V27"/>
    <n v="3"/>
    <n v="22000"/>
    <n v="0"/>
    <n v="66000"/>
    <n v="5281.64"/>
    <n v="80.31"/>
    <s v="Standard Class"/>
    <m/>
    <m/>
    <n v="66000"/>
    <n v="8.002484848484849E-2"/>
    <s v="High Value"/>
    <s v="No Discount"/>
    <s v="Jun-2024"/>
    <n v="2024"/>
  </r>
  <r>
    <s v="ORD-1135"/>
    <s v="2024-06-02"/>
    <s v="CUST014"/>
    <s v="Divya Chauhan"/>
    <x v="2"/>
    <x v="3"/>
    <s v="Bihar"/>
    <s v="Gaya"/>
    <x v="1"/>
    <s v="Appliances"/>
    <s v="Mixer Grinder"/>
    <n v="5"/>
    <n v="3200"/>
    <n v="0.15"/>
    <n v="13600"/>
    <n v="1483.26"/>
    <n v="405"/>
    <s v="Same Day"/>
    <m/>
    <m/>
    <n v="13600"/>
    <n v="0.10906323529411764"/>
    <s v="High Value"/>
    <s v="High"/>
    <s v="Jun-2024"/>
    <n v="2024"/>
  </r>
  <r>
    <s v="ORD-1136"/>
    <s v="2024-06-15"/>
    <s v="CUST007"/>
    <s v="Deepak Gupta"/>
    <x v="1"/>
    <x v="1"/>
    <s v="Uttar Pradesh"/>
    <s v="Lucknow"/>
    <x v="2"/>
    <s v="Men"/>
    <s v="Men Shirt"/>
    <n v="1"/>
    <n v="1200"/>
    <n v="0.05"/>
    <n v="1140"/>
    <n v="131.07"/>
    <n v="229.45"/>
    <s v="Standard Class"/>
    <m/>
    <m/>
    <n v="1140"/>
    <n v="0.11497368421052631"/>
    <s v="Normal"/>
    <s v="Low"/>
    <s v="Jun-2024"/>
    <n v="2024"/>
  </r>
  <r>
    <s v="ORD-1137"/>
    <s v="2024-07-07"/>
    <s v="CUST023"/>
    <s v="Ravi Shankar"/>
    <x v="1"/>
    <x v="3"/>
    <s v="Bihar"/>
    <s v="Gaya"/>
    <x v="1"/>
    <s v="Furniture"/>
    <s v="Bed Frame"/>
    <n v="3"/>
    <n v="18000"/>
    <n v="0.15"/>
    <n v="45900"/>
    <n v="3827.06"/>
    <n v="201.13"/>
    <s v="Second Class"/>
    <m/>
    <m/>
    <n v="45900"/>
    <n v="8.3378213507625268E-2"/>
    <s v="High Value"/>
    <s v="High"/>
    <s v="Jul-2024"/>
    <n v="2024"/>
  </r>
  <r>
    <s v="ORD-1138"/>
    <s v="2024-07-12"/>
    <s v="CUST021"/>
    <s v="Karan Oberoi"/>
    <x v="0"/>
    <x v="1"/>
    <s v="Uttar Pradesh"/>
    <s v="Kanpur"/>
    <x v="1"/>
    <s v="Decor"/>
    <s v="Table Lamp"/>
    <n v="2"/>
    <n v="1800"/>
    <n v="0.05"/>
    <n v="3420"/>
    <n v="340.03"/>
    <n v="74.25"/>
    <s v="First Class"/>
    <m/>
    <m/>
    <n v="3420"/>
    <n v="9.9423976608187123E-2"/>
    <s v="Normal"/>
    <s v="Low"/>
    <s v="Jul-2024"/>
    <n v="2024"/>
  </r>
  <r>
    <s v="ORD-1139"/>
    <s v="2024-07-26"/>
    <s v="CUST006"/>
    <s v="Kavya Nair"/>
    <x v="0"/>
    <x v="1"/>
    <s v="Uttar Pradesh"/>
    <s v="Kanpur"/>
    <x v="0"/>
    <s v="Accessories"/>
    <s v="Power Bank"/>
    <n v="3"/>
    <n v="1200"/>
    <n v="0"/>
    <n v="3600"/>
    <n v="409.51"/>
    <n v="161.74"/>
    <s v="Same Day"/>
    <m/>
    <m/>
    <n v="3600"/>
    <n v="0.11375277777777777"/>
    <s v="Normal"/>
    <s v="No Discount"/>
    <s v="Jul-2024"/>
    <n v="2024"/>
  </r>
  <r>
    <s v="ORD-1140"/>
    <s v="2024-07-26"/>
    <s v="CUST002"/>
    <s v="Priya Patel"/>
    <x v="1"/>
    <x v="1"/>
    <s v="Punjab"/>
    <s v="Chandigarh"/>
    <x v="2"/>
    <s v="Kids"/>
    <s v="Kids Jacket"/>
    <n v="5"/>
    <n v="1800"/>
    <n v="0"/>
    <n v="9000"/>
    <n v="2388.19"/>
    <n v="118.99"/>
    <s v="First Class"/>
    <m/>
    <m/>
    <n v="9000"/>
    <n v="0.26535444444444445"/>
    <s v="Normal"/>
    <s v="No Discount"/>
    <s v="Jul-2024"/>
    <n v="2024"/>
  </r>
  <r>
    <s v="ORD-1141"/>
    <s v="2024-07-10"/>
    <s v="CUST006"/>
    <s v="Kavya Nair"/>
    <x v="2"/>
    <x v="1"/>
    <s v="Delhi"/>
    <s v="New Delhi"/>
    <x v="1"/>
    <s v="Decor"/>
    <s v="Curtains"/>
    <n v="3"/>
    <n v="2500"/>
    <n v="0"/>
    <n v="7500"/>
    <n v="1624.06"/>
    <n v="139"/>
    <s v="First Class"/>
    <m/>
    <m/>
    <n v="7500"/>
    <n v="0.21654133333333334"/>
    <s v="Normal"/>
    <s v="No Discount"/>
    <s v="Jul-2024"/>
    <n v="2024"/>
  </r>
  <r>
    <s v="ORD-1142"/>
    <s v="2024-07-16"/>
    <s v="CUST024"/>
    <s v="Nisha Tiwari"/>
    <x v="0"/>
    <x v="1"/>
    <s v="Delhi"/>
    <s v="Rohini"/>
    <x v="0"/>
    <s v="Laptops"/>
    <s v="Lenovo IdeaPad"/>
    <n v="3"/>
    <n v="45000"/>
    <n v="0"/>
    <n v="135000"/>
    <n v="21433.97"/>
    <n v="354.7"/>
    <s v="Second Class"/>
    <m/>
    <m/>
    <n v="135000"/>
    <n v="0.15877014814814816"/>
    <s v="High Value"/>
    <s v="No Discount"/>
    <s v="Jul-2024"/>
    <n v="2024"/>
  </r>
  <r>
    <s v="ORD-1143"/>
    <s v="2024-07-18"/>
    <s v="CUST013"/>
    <s v="Sanjay Yadav"/>
    <x v="2"/>
    <x v="2"/>
    <s v="Maharashtra"/>
    <s v="Mumbai"/>
    <x v="0"/>
    <s v="Laptops"/>
    <s v="MacBook Air"/>
    <n v="5"/>
    <n v="115000"/>
    <n v="0.05"/>
    <n v="546250"/>
    <n v="100289.35"/>
    <n v="359.04"/>
    <s v="Second Class"/>
    <m/>
    <m/>
    <n v="546250"/>
    <n v="0.18359606407322657"/>
    <s v="High Value"/>
    <s v="Low"/>
    <s v="Jul-2024"/>
    <n v="2024"/>
  </r>
  <r>
    <s v="ORD-1144"/>
    <s v="2024-07-12"/>
    <s v="CUST013"/>
    <s v="Sanjay Yadav"/>
    <x v="1"/>
    <x v="1"/>
    <s v="Uttar Pradesh"/>
    <s v="Noida"/>
    <x v="1"/>
    <s v="Decor"/>
    <s v="Photo Frame"/>
    <n v="5"/>
    <n v="600"/>
    <n v="0.05"/>
    <n v="2850"/>
    <n v="572.76"/>
    <n v="265.64999999999998"/>
    <s v="Same Day"/>
    <m/>
    <m/>
    <n v="2850"/>
    <n v="0.20096842105263157"/>
    <s v="Normal"/>
    <s v="Low"/>
    <s v="Jul-2024"/>
    <n v="2024"/>
  </r>
  <r>
    <s v="ORD-1145"/>
    <s v="2024-07-01"/>
    <s v="CUST017"/>
    <s v="Arjun Malhotra"/>
    <x v="0"/>
    <x v="3"/>
    <s v="West Bengal"/>
    <s v="Siliguri"/>
    <x v="0"/>
    <s v="Mobiles"/>
    <s v="Samsung S23"/>
    <n v="1"/>
    <n v="55000"/>
    <n v="0.1"/>
    <n v="49500"/>
    <n v="7109.43"/>
    <n v="192.67"/>
    <s v="Second Class"/>
    <m/>
    <m/>
    <n v="49500"/>
    <n v="0.14362484848484849"/>
    <s v="High Value"/>
    <s v="Medium"/>
    <s v="Jul-2024"/>
    <n v="2024"/>
  </r>
  <r>
    <s v="ORD-1146"/>
    <s v="2024-07-09"/>
    <s v="CUST014"/>
    <s v="Divya Chauhan"/>
    <x v="1"/>
    <x v="2"/>
    <s v="Maharashtra"/>
    <s v="Mumbai"/>
    <x v="1"/>
    <s v="Decor"/>
    <s v="Photo Frame"/>
    <n v="4"/>
    <n v="600"/>
    <n v="0"/>
    <n v="2400"/>
    <n v="646.70000000000005"/>
    <n v="369.72"/>
    <s v="Second Class"/>
    <m/>
    <m/>
    <n v="2400"/>
    <n v="0.26945833333333336"/>
    <s v="Normal"/>
    <s v="No Discount"/>
    <s v="Jul-2024"/>
    <n v="2024"/>
  </r>
  <r>
    <s v="ORD-1147"/>
    <s v="2024-07-16"/>
    <s v="CUST012"/>
    <s v="Meera Iyer"/>
    <x v="1"/>
    <x v="2"/>
    <s v="Gujarat"/>
    <s v="Vadodara"/>
    <x v="2"/>
    <s v="Men"/>
    <s v="Men Jeans"/>
    <n v="2"/>
    <n v="2500"/>
    <n v="0.2"/>
    <n v="4000"/>
    <n v="338.1"/>
    <n v="177.91"/>
    <s v="First Class"/>
    <m/>
    <m/>
    <n v="4000"/>
    <n v="8.4525000000000003E-2"/>
    <s v="Normal"/>
    <s v="High"/>
    <s v="Jul-2024"/>
    <n v="2024"/>
  </r>
  <r>
    <s v="ORD-1148"/>
    <s v="2024-07-04"/>
    <s v="CUST019"/>
    <s v="Manoj Das"/>
    <x v="1"/>
    <x v="3"/>
    <s v="Bihar"/>
    <s v="Patna"/>
    <x v="1"/>
    <s v="Decor"/>
    <s v="Photo Frame"/>
    <n v="4"/>
    <n v="600"/>
    <n v="0"/>
    <n v="2400"/>
    <n v="547.66999999999996"/>
    <n v="87.1"/>
    <s v="Second Class"/>
    <m/>
    <m/>
    <n v="2400"/>
    <n v="0.22819583333333332"/>
    <s v="Normal"/>
    <s v="No Discount"/>
    <s v="Jul-2024"/>
    <n v="2024"/>
  </r>
  <r>
    <s v="ORD-1149"/>
    <s v="2024-07-17"/>
    <s v="CUST015"/>
    <s v="Nikhil Bose"/>
    <x v="1"/>
    <x v="1"/>
    <s v="Delhi"/>
    <s v="Rohini"/>
    <x v="1"/>
    <s v="Decor"/>
    <s v="Curtains"/>
    <n v="1"/>
    <n v="2500"/>
    <n v="0.2"/>
    <n v="2000"/>
    <n v="310.19"/>
    <n v="304.23"/>
    <s v="First Class"/>
    <m/>
    <m/>
    <n v="2000"/>
    <n v="0.15509500000000001"/>
    <s v="Normal"/>
    <s v="High"/>
    <s v="Jul-2024"/>
    <n v="2024"/>
  </r>
  <r>
    <s v="ORD-1150"/>
    <s v="2024-07-15"/>
    <s v="CUST004"/>
    <s v="Sneha Verma"/>
    <x v="1"/>
    <x v="0"/>
    <s v="Tamil Nadu"/>
    <s v="Coimbatore"/>
    <x v="0"/>
    <s v="Accessories"/>
    <s v="USB Hub"/>
    <n v="4"/>
    <n v="800"/>
    <n v="0"/>
    <n v="3200"/>
    <n v="404.54"/>
    <n v="358.42"/>
    <s v="Second Class"/>
    <m/>
    <m/>
    <n v="3200"/>
    <n v="0.12641875"/>
    <s v="Normal"/>
    <s v="No Discount"/>
    <s v="Jul-2024"/>
    <n v="2024"/>
  </r>
  <r>
    <s v="ORD-1151"/>
    <s v="2024-07-15"/>
    <s v="CUST014"/>
    <s v="Divya Chauhan"/>
    <x v="2"/>
    <x v="1"/>
    <s v="Uttar Pradesh"/>
    <s v="Lucknow"/>
    <x v="0"/>
    <s v="Mobiles"/>
    <s v="iPhone 14"/>
    <n v="5"/>
    <n v="75000"/>
    <n v="0"/>
    <n v="375000"/>
    <n v="54261.65"/>
    <n v="193.36"/>
    <s v="First Class"/>
    <m/>
    <m/>
    <n v="375000"/>
    <n v="0.14469773333333333"/>
    <s v="High Value"/>
    <s v="No Discount"/>
    <s v="Jul-2024"/>
    <n v="2024"/>
  </r>
  <r>
    <s v="ORD-1152"/>
    <s v="2024-07-28"/>
    <s v="CUST002"/>
    <s v="Priya Patel"/>
    <x v="2"/>
    <x v="1"/>
    <s v="Delhi"/>
    <s v="Rohini"/>
    <x v="0"/>
    <s v="Mobiles"/>
    <s v="iPhone 14"/>
    <n v="1"/>
    <n v="75000"/>
    <n v="0"/>
    <n v="75000"/>
    <n v="13206.77"/>
    <n v="450.39"/>
    <s v="Same Day"/>
    <m/>
    <m/>
    <n v="75000"/>
    <n v="0.17609026666666666"/>
    <s v="High Value"/>
    <s v="No Discount"/>
    <s v="Jul-2024"/>
    <n v="2024"/>
  </r>
  <r>
    <s v="ORD-1153"/>
    <s v="2024-07-06"/>
    <s v="CUST014"/>
    <s v="Divya Chauhan"/>
    <x v="0"/>
    <x v="2"/>
    <s v="Rajasthan"/>
    <s v="Jaipur"/>
    <x v="2"/>
    <s v="Kids"/>
    <s v="School Bag"/>
    <n v="1"/>
    <n v="1500"/>
    <n v="0"/>
    <n v="1500"/>
    <n v="362.81"/>
    <n v="145.87"/>
    <s v="Same Day"/>
    <m/>
    <m/>
    <n v="1500"/>
    <n v="0.24187333333333333"/>
    <s v="Normal"/>
    <s v="No Discount"/>
    <s v="Jul-2024"/>
    <n v="2024"/>
  </r>
  <r>
    <s v="ORD-1154"/>
    <s v="2024-07-26"/>
    <s v="CUST015"/>
    <s v="Nikhil Bose"/>
    <x v="0"/>
    <x v="3"/>
    <s v="West Bengal"/>
    <s v="Siliguri"/>
    <x v="1"/>
    <s v="Appliances"/>
    <s v="Toaster"/>
    <n v="1"/>
    <n v="2200"/>
    <n v="0"/>
    <n v="2200"/>
    <n v="539.27"/>
    <n v="477.28"/>
    <s v="Standard Class"/>
    <m/>
    <m/>
    <n v="2200"/>
    <n v="0.24512272727272727"/>
    <s v="Normal"/>
    <s v="No Discount"/>
    <s v="Jul-2024"/>
    <n v="2024"/>
  </r>
  <r>
    <s v="ORD-1155"/>
    <s v="2024-07-25"/>
    <s v="CUST014"/>
    <s v="Divya Chauhan"/>
    <x v="2"/>
    <x v="0"/>
    <s v="Tamil Nadu"/>
    <s v="Coimbatore"/>
    <x v="2"/>
    <s v="Men"/>
    <s v="Men Jeans"/>
    <n v="3"/>
    <n v="2500"/>
    <n v="0"/>
    <n v="7500"/>
    <n v="1529.61"/>
    <n v="230.01"/>
    <s v="Second Class"/>
    <m/>
    <m/>
    <n v="7500"/>
    <n v="0.20394799999999999"/>
    <s v="Normal"/>
    <s v="No Discount"/>
    <s v="Jul-2024"/>
    <n v="2024"/>
  </r>
  <r>
    <s v="ORD-1156"/>
    <s v="2024-07-28"/>
    <s v="CUST007"/>
    <s v="Deepak Gupta"/>
    <x v="2"/>
    <x v="2"/>
    <s v="Maharashtra"/>
    <s v="Pune"/>
    <x v="2"/>
    <s v="Kids"/>
    <s v="Kids Shoes"/>
    <n v="2"/>
    <n v="1000"/>
    <n v="0.1"/>
    <n v="1800"/>
    <n v="483.19"/>
    <n v="214.33"/>
    <s v="Second Class"/>
    <m/>
    <m/>
    <n v="1800"/>
    <n v="0.26843888888888889"/>
    <s v="Normal"/>
    <s v="Medium"/>
    <s v="Jul-2024"/>
    <n v="2024"/>
  </r>
  <r>
    <s v="ORD-1157"/>
    <s v="2024-07-24"/>
    <s v="CUST002"/>
    <s v="Priya Patel"/>
    <x v="1"/>
    <x v="1"/>
    <s v="Punjab"/>
    <s v="Chandigarh"/>
    <x v="1"/>
    <s v="Appliances"/>
    <s v="Air Fryer"/>
    <n v="4"/>
    <n v="5500"/>
    <n v="0"/>
    <n v="22000"/>
    <n v="5274.39"/>
    <n v="82.7"/>
    <s v="First Class"/>
    <m/>
    <m/>
    <n v="22000"/>
    <n v="0.23974500000000001"/>
    <s v="High Value"/>
    <s v="No Discount"/>
    <s v="Jul-2024"/>
    <n v="2024"/>
  </r>
  <r>
    <s v="ORD-1158"/>
    <s v="2024-07-03"/>
    <s v="CUST002"/>
    <s v="Priya Patel"/>
    <x v="2"/>
    <x v="0"/>
    <s v="Tamil Nadu"/>
    <s v="Madurai"/>
    <x v="2"/>
    <s v="Women"/>
    <s v="Women Dress"/>
    <n v="4"/>
    <n v="2200"/>
    <n v="0.1"/>
    <n v="7920"/>
    <n v="1601.21"/>
    <n v="396.9"/>
    <s v="Second Class"/>
    <m/>
    <m/>
    <n v="7920"/>
    <n v="0.2021729797979798"/>
    <s v="Normal"/>
    <s v="Medium"/>
    <s v="Jul-2024"/>
    <n v="2024"/>
  </r>
  <r>
    <s v="ORD-1159"/>
    <s v="2024-07-13"/>
    <s v="CUST018"/>
    <s v="Riya Kapoor"/>
    <x v="1"/>
    <x v="0"/>
    <s v="Telangana"/>
    <s v="Hyderabad"/>
    <x v="2"/>
    <s v="Women"/>
    <s v="Women Kurti"/>
    <n v="1"/>
    <n v="900"/>
    <n v="0"/>
    <n v="900"/>
    <n v="81.69"/>
    <n v="53.9"/>
    <s v="Second Class"/>
    <m/>
    <m/>
    <n v="900"/>
    <n v="9.0766666666666662E-2"/>
    <s v="Normal"/>
    <s v="No Discount"/>
    <s v="Jul-2024"/>
    <n v="2024"/>
  </r>
  <r>
    <s v="ORD-1160"/>
    <s v="2024-08-22"/>
    <s v="CUST009"/>
    <s v="Vikram Joshi"/>
    <x v="0"/>
    <x v="1"/>
    <s v="Delhi"/>
    <s v="New Delhi"/>
    <x v="2"/>
    <s v="Women"/>
    <s v="Women Blazer"/>
    <n v="2"/>
    <n v="3200"/>
    <n v="0.15"/>
    <n v="5440"/>
    <n v="1361.01"/>
    <n v="183.12"/>
    <s v="Second Class"/>
    <m/>
    <m/>
    <n v="5440"/>
    <n v="0.25018566176470586"/>
    <s v="Normal"/>
    <s v="High"/>
    <s v="Aug-2024"/>
    <n v="2024"/>
  </r>
  <r>
    <s v="ORD-1161"/>
    <s v="2024-08-26"/>
    <s v="CUST024"/>
    <s v="Nisha Tiwari"/>
    <x v="0"/>
    <x v="1"/>
    <s v="Uttar Pradesh"/>
    <s v="Kanpur"/>
    <x v="1"/>
    <s v="Decor"/>
    <s v="Wall Clock"/>
    <n v="2"/>
    <n v="1500"/>
    <n v="0.2"/>
    <n v="2400"/>
    <n v="432.92"/>
    <n v="73.28"/>
    <s v="Second Class"/>
    <m/>
    <m/>
    <n v="2400"/>
    <n v="0.18038333333333334"/>
    <s v="Normal"/>
    <s v="High"/>
    <s v="Aug-2024"/>
    <n v="2024"/>
  </r>
  <r>
    <s v="ORD-1162"/>
    <s v="2024-08-03"/>
    <s v="CUST012"/>
    <s v="Meera Iyer"/>
    <x v="0"/>
    <x v="1"/>
    <s v="Punjab"/>
    <s v="Amritsar"/>
    <x v="0"/>
    <s v="Laptops"/>
    <s v="Dell Inspiron"/>
    <n v="5"/>
    <n v="55000"/>
    <n v="0"/>
    <n v="275000"/>
    <n v="40830"/>
    <n v="224.25"/>
    <s v="Same Day"/>
    <m/>
    <m/>
    <n v="275000"/>
    <n v="0.14847272727272728"/>
    <s v="High Value"/>
    <s v="No Discount"/>
    <s v="Aug-2024"/>
    <n v="2024"/>
  </r>
  <r>
    <s v="ORD-1163"/>
    <s v="2024-08-03"/>
    <s v="CUST010"/>
    <s v="Pooja Reddy"/>
    <x v="1"/>
    <x v="1"/>
    <s v="Uttar Pradesh"/>
    <s v="Lucknow"/>
    <x v="2"/>
    <s v="Men"/>
    <s v="Men Jeans"/>
    <n v="3"/>
    <n v="2500"/>
    <n v="0"/>
    <n v="7500"/>
    <n v="830"/>
    <n v="450.02"/>
    <s v="First Class"/>
    <m/>
    <m/>
    <n v="7500"/>
    <n v="0.11066666666666666"/>
    <s v="Normal"/>
    <s v="No Discount"/>
    <s v="Aug-2024"/>
    <n v="2024"/>
  </r>
  <r>
    <s v="ORD-1164"/>
    <s v="2024-08-17"/>
    <s v="CUST008"/>
    <s v="Anita Mehta"/>
    <x v="1"/>
    <x v="2"/>
    <s v="Rajasthan"/>
    <s v="Jodhpur"/>
    <x v="1"/>
    <s v="Decor"/>
    <s v="Wall Clock"/>
    <n v="1"/>
    <n v="1500"/>
    <n v="0.1"/>
    <n v="1350"/>
    <n v="329.12"/>
    <n v="300.93"/>
    <s v="Second Class"/>
    <m/>
    <m/>
    <n v="1350"/>
    <n v="0.24379259259259259"/>
    <s v="Normal"/>
    <s v="Medium"/>
    <s v="Aug-2024"/>
    <n v="2024"/>
  </r>
  <r>
    <s v="ORD-1165"/>
    <s v="2024-08-12"/>
    <s v="CUST014"/>
    <s v="Divya Chauhan"/>
    <x v="2"/>
    <x v="0"/>
    <s v="Karnataka"/>
    <s v="Bengaluru"/>
    <x v="1"/>
    <s v="Appliances"/>
    <s v="Mixer Grinder"/>
    <n v="3"/>
    <n v="3200"/>
    <n v="0.2"/>
    <n v="7680"/>
    <n v="1939.15"/>
    <n v="378.25"/>
    <s v="First Class"/>
    <m/>
    <m/>
    <n v="7680"/>
    <n v="0.25249348958333334"/>
    <s v="Normal"/>
    <s v="High"/>
    <s v="Aug-2024"/>
    <n v="2024"/>
  </r>
  <r>
    <s v="ORD-1166"/>
    <s v="2024-08-22"/>
    <s v="CUST018"/>
    <s v="Riya Kapoor"/>
    <x v="2"/>
    <x v="3"/>
    <s v="Bihar"/>
    <s v="Patna"/>
    <x v="0"/>
    <s v="Mobiles"/>
    <s v="iPhone 14"/>
    <n v="2"/>
    <n v="75000"/>
    <n v="0.1"/>
    <n v="135000"/>
    <n v="29057.67"/>
    <n v="205.12"/>
    <s v="Standard Class"/>
    <m/>
    <m/>
    <n v="135000"/>
    <n v="0.21524199999999999"/>
    <s v="High Value"/>
    <s v="Medium"/>
    <s v="Aug-2024"/>
    <n v="2024"/>
  </r>
  <r>
    <s v="ORD-1167"/>
    <s v="2024-08-21"/>
    <s v="CUST007"/>
    <s v="Deepak Gupta"/>
    <x v="2"/>
    <x v="2"/>
    <s v="Gujarat"/>
    <s v="Vadodara"/>
    <x v="2"/>
    <s v="Women"/>
    <s v="Women Shoes"/>
    <n v="3"/>
    <n v="2400"/>
    <n v="0.05"/>
    <n v="6840"/>
    <n v="1900.78"/>
    <n v="295.97000000000003"/>
    <s v="First Class"/>
    <m/>
    <m/>
    <n v="6840"/>
    <n v="0.27789181286549708"/>
    <s v="Normal"/>
    <s v="Low"/>
    <s v="Aug-2024"/>
    <n v="2024"/>
  </r>
  <r>
    <s v="ORD-1168"/>
    <s v="2024-08-19"/>
    <s v="CUST007"/>
    <s v="Deepak Gupta"/>
    <x v="1"/>
    <x v="3"/>
    <s v="Bihar"/>
    <s v="Gaya"/>
    <x v="0"/>
    <s v="Laptops"/>
    <s v="Lenovo IdeaPad"/>
    <n v="4"/>
    <n v="45000"/>
    <n v="0.2"/>
    <n v="144000"/>
    <n v="39370.300000000003"/>
    <n v="53.89"/>
    <s v="Second Class"/>
    <m/>
    <m/>
    <n v="144000"/>
    <n v="0.27340486111111112"/>
    <s v="High Value"/>
    <s v="High"/>
    <s v="Aug-2024"/>
    <n v="2024"/>
  </r>
  <r>
    <s v="ORD-1169"/>
    <s v="2024-08-16"/>
    <s v="CUST008"/>
    <s v="Anita Mehta"/>
    <x v="2"/>
    <x v="0"/>
    <s v="Telangana"/>
    <s v="Warangal"/>
    <x v="1"/>
    <s v="Appliances"/>
    <s v="Electric Kettle"/>
    <n v="4"/>
    <n v="1800"/>
    <n v="0.05"/>
    <n v="6840"/>
    <n v="1855.12"/>
    <n v="466.86"/>
    <s v="First Class"/>
    <m/>
    <m/>
    <n v="6840"/>
    <n v="0.27121637426900586"/>
    <s v="Normal"/>
    <s v="Low"/>
    <s v="Aug-2024"/>
    <n v="2024"/>
  </r>
  <r>
    <s v="ORD-1170"/>
    <s v="2024-08-05"/>
    <s v="CUST007"/>
    <s v="Deepak Gupta"/>
    <x v="1"/>
    <x v="2"/>
    <s v="Rajasthan"/>
    <s v="Jodhpur"/>
    <x v="1"/>
    <s v="Decor"/>
    <s v="Photo Frame"/>
    <n v="4"/>
    <n v="600"/>
    <n v="0.2"/>
    <n v="1920"/>
    <n v="198.57"/>
    <n v="127.88"/>
    <s v="Same Day"/>
    <m/>
    <m/>
    <n v="1920"/>
    <n v="0.103421875"/>
    <s v="Normal"/>
    <s v="High"/>
    <s v="Aug-2024"/>
    <n v="2024"/>
  </r>
  <r>
    <s v="ORD-1171"/>
    <s v="2024-08-10"/>
    <s v="CUST004"/>
    <s v="Sneha Verma"/>
    <x v="0"/>
    <x v="1"/>
    <s v="Uttar Pradesh"/>
    <s v="Kanpur"/>
    <x v="1"/>
    <s v="Decor"/>
    <s v="Table Lamp"/>
    <n v="4"/>
    <n v="1800"/>
    <n v="0.1"/>
    <n v="6480"/>
    <n v="1262.5"/>
    <n v="499.01"/>
    <s v="Standard Class"/>
    <m/>
    <m/>
    <n v="6480"/>
    <n v="0.19483024691358025"/>
    <s v="Normal"/>
    <s v="Medium"/>
    <s v="Aug-2024"/>
    <n v="2024"/>
  </r>
  <r>
    <s v="ORD-1172"/>
    <s v="2024-08-19"/>
    <s v="CUST006"/>
    <s v="Kavya Nair"/>
    <x v="2"/>
    <x v="1"/>
    <s v="Punjab"/>
    <s v="Chandigarh"/>
    <x v="0"/>
    <s v="Laptops"/>
    <s v="Lenovo IdeaPad"/>
    <n v="3"/>
    <n v="45000"/>
    <n v="0"/>
    <n v="135000"/>
    <n v="11408.48"/>
    <n v="343.27"/>
    <s v="Second Class"/>
    <m/>
    <m/>
    <n v="135000"/>
    <n v="8.4507259259259254E-2"/>
    <s v="High Value"/>
    <s v="No Discount"/>
    <s v="Aug-2024"/>
    <n v="2024"/>
  </r>
  <r>
    <s v="ORD-1173"/>
    <s v="2024-08-23"/>
    <s v="CUST005"/>
    <s v="Amit Singh"/>
    <x v="2"/>
    <x v="0"/>
    <s v="Telangana"/>
    <s v="Warangal"/>
    <x v="2"/>
    <s v="Women"/>
    <s v="Women Blazer"/>
    <n v="5"/>
    <n v="3200"/>
    <n v="0"/>
    <n v="16000"/>
    <n v="3238.38"/>
    <n v="83.21"/>
    <s v="Same Day"/>
    <m/>
    <m/>
    <n v="16000"/>
    <n v="0.20239875000000002"/>
    <s v="High Value"/>
    <s v="No Discount"/>
    <s v="Aug-2024"/>
    <n v="2024"/>
  </r>
  <r>
    <s v="ORD-1174"/>
    <s v="2024-08-11"/>
    <s v="CUST010"/>
    <s v="Pooja Reddy"/>
    <x v="1"/>
    <x v="1"/>
    <s v="Uttar Pradesh"/>
    <s v="Agra"/>
    <x v="0"/>
    <s v="Mobiles"/>
    <s v="OnePlus 11"/>
    <n v="3"/>
    <n v="40000"/>
    <n v="0"/>
    <n v="120000"/>
    <n v="10048.049999999999"/>
    <n v="129.86000000000001"/>
    <s v="Same Day"/>
    <m/>
    <m/>
    <n v="120000"/>
    <n v="8.3733749999999996E-2"/>
    <s v="High Value"/>
    <s v="No Discount"/>
    <s v="Aug-2024"/>
    <n v="2024"/>
  </r>
  <r>
    <s v="ORD-1175"/>
    <s v="2024-08-19"/>
    <s v="CUST012"/>
    <s v="Meera Iyer"/>
    <x v="1"/>
    <x v="1"/>
    <s v="Uttar Pradesh"/>
    <s v="Noida"/>
    <x v="1"/>
    <s v="Furniture"/>
    <s v="Office Chair"/>
    <n v="4"/>
    <n v="8500"/>
    <n v="0.05"/>
    <n v="32300"/>
    <n v="7857.74"/>
    <n v="131.93"/>
    <s v="Standard Class"/>
    <m/>
    <m/>
    <n v="32300"/>
    <n v="0.24327368421052631"/>
    <s v="High Value"/>
    <s v="Low"/>
    <s v="Aug-2024"/>
    <n v="2024"/>
  </r>
  <r>
    <s v="ORD-1176"/>
    <s v="2024-08-16"/>
    <s v="CUST003"/>
    <s v="Rohit Kumar"/>
    <x v="1"/>
    <x v="2"/>
    <s v="Rajasthan"/>
    <s v="Jodhpur"/>
    <x v="1"/>
    <s v="Appliances"/>
    <s v="Induction Cooktop"/>
    <n v="5"/>
    <n v="4000"/>
    <n v="0.2"/>
    <n v="16000"/>
    <n v="3911.82"/>
    <n v="483.66"/>
    <s v="Same Day"/>
    <m/>
    <m/>
    <n v="16000"/>
    <n v="0.24448875"/>
    <s v="High Value"/>
    <s v="High"/>
    <s v="Aug-2024"/>
    <n v="2024"/>
  </r>
  <r>
    <s v="ORD-1177"/>
    <s v="2024-08-12"/>
    <s v="CUST014"/>
    <s v="Divya Chauhan"/>
    <x v="1"/>
    <x v="1"/>
    <s v="Delhi"/>
    <s v="Dwarka"/>
    <x v="1"/>
    <s v="Decor"/>
    <s v="Wall Clock"/>
    <n v="2"/>
    <n v="1500"/>
    <n v="0.1"/>
    <n v="2700"/>
    <n v="542.39"/>
    <n v="208.92"/>
    <s v="Same Day"/>
    <m/>
    <m/>
    <n v="2700"/>
    <n v="0.20088518518518517"/>
    <s v="Normal"/>
    <s v="Medium"/>
    <s v="Aug-2024"/>
    <n v="2024"/>
  </r>
  <r>
    <s v="ORD-1178"/>
    <s v="2024-08-21"/>
    <s v="CUST024"/>
    <s v="Nisha Tiwari"/>
    <x v="0"/>
    <x v="0"/>
    <s v="Tamil Nadu"/>
    <s v="Chennai"/>
    <x v="1"/>
    <s v="Appliances"/>
    <s v="Toaster"/>
    <n v="3"/>
    <n v="2200"/>
    <n v="0"/>
    <n v="6600"/>
    <n v="1766.6"/>
    <n v="161.93"/>
    <s v="Same Day"/>
    <m/>
    <m/>
    <n v="6600"/>
    <n v="0.26766666666666666"/>
    <s v="Normal"/>
    <s v="No Discount"/>
    <s v="Aug-2024"/>
    <n v="2024"/>
  </r>
  <r>
    <s v="ORD-1179"/>
    <s v="2024-08-25"/>
    <s v="CUST004"/>
    <s v="Sneha Verma"/>
    <x v="0"/>
    <x v="0"/>
    <s v="Tamil Nadu"/>
    <s v="Chennai"/>
    <x v="0"/>
    <s v="Laptops"/>
    <s v="MacBook Air"/>
    <n v="5"/>
    <n v="115000"/>
    <n v="0.2"/>
    <n v="460000"/>
    <n v="60571.18"/>
    <n v="335.56"/>
    <s v="Second Class"/>
    <m/>
    <m/>
    <n v="460000"/>
    <n v="0.13167647826086956"/>
    <s v="High Value"/>
    <s v="High"/>
    <s v="Aug-2024"/>
    <n v="2024"/>
  </r>
  <r>
    <s v="ORD-1180"/>
    <s v="2024-08-16"/>
    <s v="CUST003"/>
    <s v="Rohit Kumar"/>
    <x v="1"/>
    <x v="0"/>
    <s v="Karnataka"/>
    <s v="Mangaluru"/>
    <x v="1"/>
    <s v="Furniture"/>
    <s v="Study Table"/>
    <n v="3"/>
    <n v="6000"/>
    <n v="0.15"/>
    <n v="15300"/>
    <n v="2150.38"/>
    <n v="328.95"/>
    <s v="Standard Class"/>
    <m/>
    <m/>
    <n v="15300"/>
    <n v="0.14054771241830066"/>
    <s v="High Value"/>
    <s v="High"/>
    <s v="Aug-2024"/>
    <n v="2024"/>
  </r>
  <r>
    <s v="ORD-1181"/>
    <s v="2024-08-16"/>
    <s v="CUST018"/>
    <s v="Riya Kapoor"/>
    <x v="2"/>
    <x v="3"/>
    <s v="Odisha"/>
    <s v="Bhubaneswar"/>
    <x v="1"/>
    <s v="Appliances"/>
    <s v="Air Fryer"/>
    <n v="5"/>
    <n v="5500"/>
    <n v="0"/>
    <n v="27500"/>
    <n v="6959.98"/>
    <n v="171.57"/>
    <s v="Same Day"/>
    <m/>
    <m/>
    <n v="27500"/>
    <n v="0.25309018181818183"/>
    <s v="High Value"/>
    <s v="No Discount"/>
    <s v="Aug-2024"/>
    <n v="2024"/>
  </r>
  <r>
    <s v="ORD-1182"/>
    <s v="2024-08-25"/>
    <s v="CUST003"/>
    <s v="Rohit Kumar"/>
    <x v="0"/>
    <x v="2"/>
    <s v="Rajasthan"/>
    <s v="Jaipur"/>
    <x v="1"/>
    <s v="Furniture"/>
    <s v="Study Table"/>
    <n v="4"/>
    <n v="6000"/>
    <n v="0"/>
    <n v="24000"/>
    <n v="5426.61"/>
    <n v="295.77"/>
    <s v="First Class"/>
    <m/>
    <m/>
    <n v="24000"/>
    <n v="0.22610875"/>
    <s v="High Value"/>
    <s v="No Discount"/>
    <s v="Aug-2024"/>
    <n v="2024"/>
  </r>
  <r>
    <s v="ORD-1183"/>
    <s v="2024-08-18"/>
    <s v="CUST008"/>
    <s v="Anita Mehta"/>
    <x v="0"/>
    <x v="2"/>
    <s v="Maharashtra"/>
    <s v="Pune"/>
    <x v="1"/>
    <s v="Furniture"/>
    <s v="Office Chair"/>
    <n v="5"/>
    <n v="8500"/>
    <n v="0"/>
    <n v="42500"/>
    <n v="3801.02"/>
    <n v="53.56"/>
    <s v="Standard Class"/>
    <m/>
    <m/>
    <n v="42500"/>
    <n v="8.9435764705882353E-2"/>
    <s v="High Value"/>
    <s v="No Discount"/>
    <s v="Aug-2024"/>
    <n v="2024"/>
  </r>
  <r>
    <s v="ORD-1184"/>
    <s v="2024-08-27"/>
    <s v="CUST004"/>
    <s v="Sneha Verma"/>
    <x v="2"/>
    <x v="0"/>
    <s v="Tamil Nadu"/>
    <s v="Madurai"/>
    <x v="2"/>
    <s v="Kids"/>
    <s v="Kids T-Shirt"/>
    <n v="1"/>
    <n v="600"/>
    <n v="0"/>
    <n v="600"/>
    <n v="60.64"/>
    <n v="250.25"/>
    <s v="First Class"/>
    <m/>
    <m/>
    <n v="600"/>
    <n v="0.10106666666666667"/>
    <s v="Normal"/>
    <s v="No Discount"/>
    <s v="Aug-2024"/>
    <n v="2024"/>
  </r>
  <r>
    <s v="ORD-1185"/>
    <s v="2024-08-09"/>
    <s v="CUST016"/>
    <s v="Sunita Pandey"/>
    <x v="2"/>
    <x v="3"/>
    <s v="Odisha"/>
    <s v="Cuttack"/>
    <x v="1"/>
    <s v="Decor"/>
    <s v="Curtains"/>
    <n v="4"/>
    <n v="2500"/>
    <n v="0"/>
    <n v="10000"/>
    <n v="2517.7399999999998"/>
    <n v="77.260000000000005"/>
    <s v="First Class"/>
    <m/>
    <m/>
    <n v="10000"/>
    <n v="0.251774"/>
    <s v="Normal"/>
    <s v="No Discount"/>
    <s v="Aug-2024"/>
    <n v="2024"/>
  </r>
  <r>
    <s v="ORD-1186"/>
    <s v="2024-08-22"/>
    <s v="CUST014"/>
    <s v="Divya Chauhan"/>
    <x v="0"/>
    <x v="1"/>
    <s v="Punjab"/>
    <s v="Ludhiana"/>
    <x v="1"/>
    <s v="Decor"/>
    <s v="Table Lamp"/>
    <n v="5"/>
    <n v="1800"/>
    <n v="0"/>
    <n v="9000"/>
    <n v="1086.24"/>
    <n v="54.31"/>
    <s v="Standard Class"/>
    <m/>
    <m/>
    <n v="9000"/>
    <n v="0.12069333333333333"/>
    <s v="Normal"/>
    <s v="No Discount"/>
    <s v="Aug-2024"/>
    <n v="2024"/>
  </r>
  <r>
    <s v="ORD-1187"/>
    <s v="2024-09-23"/>
    <s v="CUST014"/>
    <s v="Divya Chauhan"/>
    <x v="0"/>
    <x v="1"/>
    <s v="Punjab"/>
    <s v="Chandigarh"/>
    <x v="2"/>
    <s v="Women"/>
    <s v="Women Saree"/>
    <n v="4"/>
    <n v="3500"/>
    <n v="0"/>
    <n v="14000"/>
    <n v="3225.61"/>
    <n v="111.22"/>
    <s v="Standard Class"/>
    <m/>
    <m/>
    <n v="14000"/>
    <n v="0.23040071428571429"/>
    <s v="High Value"/>
    <s v="No Discount"/>
    <s v="Sep-2024"/>
    <n v="2024"/>
  </r>
  <r>
    <s v="ORD-1188"/>
    <s v="2024-09-05"/>
    <s v="CUST003"/>
    <s v="Rohit Kumar"/>
    <x v="2"/>
    <x v="1"/>
    <s v="Punjab"/>
    <s v="Chandigarh"/>
    <x v="2"/>
    <s v="Kids"/>
    <s v="School Bag"/>
    <n v="5"/>
    <n v="1500"/>
    <n v="0.2"/>
    <n v="6000"/>
    <n v="824.18"/>
    <n v="498.8"/>
    <s v="Second Class"/>
    <m/>
    <m/>
    <n v="6000"/>
    <n v="0.13736333333333334"/>
    <s v="Normal"/>
    <s v="High"/>
    <s v="Sep-2024"/>
    <n v="2024"/>
  </r>
  <r>
    <s v="ORD-1189"/>
    <s v="2024-09-15"/>
    <s v="CUST022"/>
    <s v="Shruti Agarwal"/>
    <x v="1"/>
    <x v="2"/>
    <s v="Gujarat"/>
    <s v="Ahmedabad"/>
    <x v="0"/>
    <s v="Accessories"/>
    <s v="Smartwatch"/>
    <n v="2"/>
    <n v="8000"/>
    <n v="0.2"/>
    <n v="12800"/>
    <n v="2951.36"/>
    <n v="234.61"/>
    <s v="Standard Class"/>
    <m/>
    <m/>
    <n v="12800"/>
    <n v="0.230575"/>
    <s v="High Value"/>
    <s v="High"/>
    <s v="Sep-2024"/>
    <n v="2024"/>
  </r>
  <r>
    <s v="ORD-1190"/>
    <s v="2024-09-10"/>
    <s v="CUST013"/>
    <s v="Sanjay Yadav"/>
    <x v="2"/>
    <x v="1"/>
    <s v="Punjab"/>
    <s v="Amritsar"/>
    <x v="1"/>
    <s v="Decor"/>
    <s v="Wall Clock"/>
    <n v="1"/>
    <n v="1500"/>
    <n v="0.15"/>
    <n v="1275"/>
    <n v="237.19"/>
    <n v="322.04000000000002"/>
    <s v="First Class"/>
    <m/>
    <m/>
    <n v="1275"/>
    <n v="0.18603137254901961"/>
    <s v="Normal"/>
    <s v="High"/>
    <s v="Sep-2024"/>
    <n v="2024"/>
  </r>
  <r>
    <s v="ORD-1191"/>
    <s v="2024-09-07"/>
    <s v="CUST012"/>
    <s v="Meera Iyer"/>
    <x v="1"/>
    <x v="1"/>
    <s v="Punjab"/>
    <s v="Ludhiana"/>
    <x v="1"/>
    <s v="Appliances"/>
    <s v="Electric Kettle"/>
    <n v="2"/>
    <n v="1800"/>
    <n v="0.2"/>
    <n v="2880"/>
    <n v="796.66"/>
    <n v="122.17"/>
    <s v="Second Class"/>
    <m/>
    <m/>
    <n v="2880"/>
    <n v="0.27661805555555552"/>
    <s v="Normal"/>
    <s v="High"/>
    <s v="Sep-2024"/>
    <n v="2024"/>
  </r>
  <r>
    <s v="ORD-1192"/>
    <s v="2024-09-23"/>
    <s v="CUST014"/>
    <s v="Divya Chauhan"/>
    <x v="0"/>
    <x v="1"/>
    <s v="Punjab"/>
    <s v="Chandigarh"/>
    <x v="1"/>
    <s v="Decor"/>
    <s v="Photo Frame"/>
    <n v="4"/>
    <n v="600"/>
    <n v="0.2"/>
    <n v="1920"/>
    <n v="191.04"/>
    <n v="410.86"/>
    <s v="First Class"/>
    <m/>
    <m/>
    <n v="1920"/>
    <n v="9.9499999999999991E-2"/>
    <s v="Normal"/>
    <s v="High"/>
    <s v="Sep-2024"/>
    <n v="2024"/>
  </r>
  <r>
    <s v="ORD-1193"/>
    <s v="2024-09-08"/>
    <s v="CUST009"/>
    <s v="Vikram Joshi"/>
    <x v="1"/>
    <x v="0"/>
    <s v="Karnataka"/>
    <s v="Mangaluru"/>
    <x v="2"/>
    <s v="Women"/>
    <s v="Women Dress"/>
    <n v="4"/>
    <n v="2200"/>
    <n v="0"/>
    <n v="8800"/>
    <n v="770.56"/>
    <n v="437.04"/>
    <s v="Standard Class"/>
    <m/>
    <m/>
    <n v="8800"/>
    <n v="8.7563636363636357E-2"/>
    <s v="Normal"/>
    <s v="No Discount"/>
    <s v="Sep-2024"/>
    <n v="2024"/>
  </r>
  <r>
    <s v="ORD-1194"/>
    <s v="2024-09-15"/>
    <s v="CUST001"/>
    <s v="Aarav Sharma"/>
    <x v="1"/>
    <x v="1"/>
    <s v="Uttar Pradesh"/>
    <s v="Lucknow"/>
    <x v="2"/>
    <s v="Kids"/>
    <s v="Kids T-Shirt"/>
    <n v="5"/>
    <n v="600"/>
    <n v="0.15"/>
    <n v="2550"/>
    <n v="409.58"/>
    <n v="167.65"/>
    <s v="Standard Class"/>
    <m/>
    <m/>
    <n v="2550"/>
    <n v="0.16061960784313725"/>
    <s v="Normal"/>
    <s v="High"/>
    <s v="Sep-2024"/>
    <n v="2024"/>
  </r>
  <r>
    <s v="ORD-1195"/>
    <s v="2024-09-04"/>
    <s v="CUST025"/>
    <s v="Aditya Bhatt"/>
    <x v="1"/>
    <x v="3"/>
    <s v="Bihar"/>
    <s v="Patna"/>
    <x v="0"/>
    <s v="Laptops"/>
    <s v="MacBook Air"/>
    <n v="4"/>
    <n v="115000"/>
    <n v="0"/>
    <n v="460000"/>
    <n v="65845.62"/>
    <n v="352.17"/>
    <s v="Second Class"/>
    <m/>
    <m/>
    <n v="460000"/>
    <n v="0.14314265217391303"/>
    <s v="High Value"/>
    <s v="No Discount"/>
    <s v="Sep-2024"/>
    <n v="2024"/>
  </r>
  <r>
    <s v="ORD-1196"/>
    <s v="2024-09-26"/>
    <s v="CUST022"/>
    <s v="Shruti Agarwal"/>
    <x v="2"/>
    <x v="0"/>
    <s v="Karnataka"/>
    <s v="Mysuru"/>
    <x v="1"/>
    <s v="Decor"/>
    <s v="Wall Clock"/>
    <n v="1"/>
    <n v="1500"/>
    <n v="0.2"/>
    <n v="1200"/>
    <n v="167.46"/>
    <n v="128.51"/>
    <s v="First Class"/>
    <m/>
    <m/>
    <n v="1200"/>
    <n v="0.13955000000000001"/>
    <s v="Normal"/>
    <s v="High"/>
    <s v="Sep-2024"/>
    <n v="2024"/>
  </r>
  <r>
    <s v="ORD-1197"/>
    <s v="2024-09-19"/>
    <s v="CUST008"/>
    <s v="Anita Mehta"/>
    <x v="1"/>
    <x v="3"/>
    <s v="Bihar"/>
    <s v="Gaya"/>
    <x v="1"/>
    <s v="Furniture"/>
    <s v="Bookshelf"/>
    <n v="5"/>
    <n v="4500"/>
    <n v="0.2"/>
    <n v="18000"/>
    <n v="2204.65"/>
    <n v="105.03"/>
    <s v="Standard Class"/>
    <m/>
    <m/>
    <n v="18000"/>
    <n v="0.12248055555555556"/>
    <s v="High Value"/>
    <s v="High"/>
    <s v="Sep-2024"/>
    <n v="2024"/>
  </r>
  <r>
    <s v="ORD-1198"/>
    <s v="2024-09-08"/>
    <s v="CUST015"/>
    <s v="Nikhil Bose"/>
    <x v="0"/>
    <x v="2"/>
    <s v="Rajasthan"/>
    <s v="Jaipur"/>
    <x v="0"/>
    <s v="Mobiles"/>
    <s v="Vivo V27"/>
    <n v="2"/>
    <n v="22000"/>
    <n v="0"/>
    <n v="44000"/>
    <n v="9369.33"/>
    <n v="405.71"/>
    <s v="Standard Class"/>
    <m/>
    <m/>
    <n v="44000"/>
    <n v="0.21293931818181819"/>
    <s v="High Value"/>
    <s v="No Discount"/>
    <s v="Sep-2024"/>
    <n v="2024"/>
  </r>
  <r>
    <s v="ORD-1199"/>
    <s v="2024-09-10"/>
    <s v="CUST020"/>
    <s v="Geeta Mishra"/>
    <x v="2"/>
    <x v="0"/>
    <s v="Karnataka"/>
    <s v="Bengaluru"/>
    <x v="1"/>
    <s v="Decor"/>
    <s v="Table Lamp"/>
    <n v="5"/>
    <n v="1800"/>
    <n v="0.2"/>
    <n v="7200"/>
    <n v="1214.3599999999999"/>
    <n v="310.86"/>
    <s v="Same Day"/>
    <m/>
    <m/>
    <n v="7200"/>
    <n v="0.16866111111111109"/>
    <s v="Normal"/>
    <s v="High"/>
    <s v="Sep-2024"/>
    <n v="2024"/>
  </r>
  <r>
    <s v="ORD-1200"/>
    <s v="2024-09-07"/>
    <s v="CUST015"/>
    <s v="Nikhil Bose"/>
    <x v="1"/>
    <x v="3"/>
    <s v="West Bengal"/>
    <s v="Siliguri"/>
    <x v="2"/>
    <s v="Men"/>
    <s v="Men Shirt"/>
    <n v="3"/>
    <n v="1200"/>
    <n v="0.15"/>
    <n v="3060"/>
    <n v="659.96"/>
    <n v="430.16"/>
    <s v="Same Day"/>
    <m/>
    <m/>
    <n v="3060"/>
    <n v="0.21567320261437908"/>
    <s v="Normal"/>
    <s v="High"/>
    <s v="Sep-2024"/>
    <n v="2024"/>
  </r>
  <r>
    <s v="ORD-1201"/>
    <s v="2024-09-25"/>
    <s v="CUST017"/>
    <s v="Arjun Malhotra"/>
    <x v="2"/>
    <x v="0"/>
    <s v="Tamil Nadu"/>
    <s v="Chennai"/>
    <x v="2"/>
    <s v="Men"/>
    <s v="Men Shoes"/>
    <n v="5"/>
    <n v="2800"/>
    <n v="0"/>
    <n v="14000"/>
    <n v="1355.35"/>
    <n v="197.41"/>
    <s v="Same Day"/>
    <m/>
    <m/>
    <n v="14000"/>
    <n v="9.6810714285714278E-2"/>
    <s v="High Value"/>
    <s v="No Discount"/>
    <s v="Sep-2024"/>
    <n v="2024"/>
  </r>
  <r>
    <s v="ORD-1202"/>
    <s v="2024-09-16"/>
    <s v="CUST007"/>
    <s v="Deepak Gupta"/>
    <x v="1"/>
    <x v="2"/>
    <s v="Maharashtra"/>
    <s v="Mumbai"/>
    <x v="0"/>
    <s v="Accessories"/>
    <s v="Power Bank"/>
    <n v="5"/>
    <n v="1200"/>
    <n v="0.1"/>
    <n v="5400"/>
    <n v="623.96"/>
    <n v="161.94999999999999"/>
    <s v="Same Day"/>
    <m/>
    <m/>
    <n v="5400"/>
    <n v="0.11554814814814815"/>
    <s v="Normal"/>
    <s v="Medium"/>
    <s v="Sep-2024"/>
    <n v="2024"/>
  </r>
  <r>
    <s v="ORD-1203"/>
    <s v="2024-09-18"/>
    <s v="CUST007"/>
    <s v="Deepak Gupta"/>
    <x v="1"/>
    <x v="1"/>
    <s v="Punjab"/>
    <s v="Amritsar"/>
    <x v="2"/>
    <s v="Kids"/>
    <s v="Kids T-Shirt"/>
    <n v="1"/>
    <n v="600"/>
    <n v="0"/>
    <n v="600"/>
    <n v="124.54"/>
    <n v="220.82"/>
    <s v="Same Day"/>
    <m/>
    <m/>
    <n v="600"/>
    <n v="0.20756666666666668"/>
    <s v="Normal"/>
    <s v="No Discount"/>
    <s v="Sep-2024"/>
    <n v="2024"/>
  </r>
  <r>
    <s v="ORD-1204"/>
    <s v="2024-09-01"/>
    <s v="CUST023"/>
    <s v="Ravi Shankar"/>
    <x v="0"/>
    <x v="1"/>
    <s v="Punjab"/>
    <s v="Chandigarh"/>
    <x v="2"/>
    <s v="Men"/>
    <s v="Men Kurta"/>
    <n v="1"/>
    <n v="1500"/>
    <n v="0.1"/>
    <n v="1350"/>
    <n v="188.49"/>
    <n v="428.19"/>
    <s v="Standard Class"/>
    <m/>
    <m/>
    <n v="1350"/>
    <n v="0.13962222222222223"/>
    <s v="Normal"/>
    <s v="Medium"/>
    <s v="Sep-2024"/>
    <n v="2024"/>
  </r>
  <r>
    <s v="ORD-1205"/>
    <s v="2024-09-19"/>
    <s v="CUST022"/>
    <s v="Shruti Agarwal"/>
    <x v="2"/>
    <x v="1"/>
    <s v="Uttar Pradesh"/>
    <s v="Kanpur"/>
    <x v="2"/>
    <s v="Kids"/>
    <s v="School Bag"/>
    <n v="3"/>
    <n v="1500"/>
    <n v="0"/>
    <n v="4500"/>
    <n v="1124.31"/>
    <n v="58.45"/>
    <s v="Second Class"/>
    <m/>
    <m/>
    <n v="4500"/>
    <n v="0.24984666666666666"/>
    <s v="Normal"/>
    <s v="No Discount"/>
    <s v="Sep-2024"/>
    <n v="2024"/>
  </r>
  <r>
    <s v="ORD-1206"/>
    <s v="2024-09-05"/>
    <s v="CUST024"/>
    <s v="Nisha Tiwari"/>
    <x v="0"/>
    <x v="3"/>
    <s v="West Bengal"/>
    <s v="Kolkata"/>
    <x v="0"/>
    <s v="Accessories"/>
    <s v="USB Hub"/>
    <n v="1"/>
    <n v="800"/>
    <n v="0.2"/>
    <n v="640"/>
    <n v="59.2"/>
    <n v="323.70999999999998"/>
    <s v="Same Day"/>
    <m/>
    <m/>
    <n v="640"/>
    <n v="9.2499999999999999E-2"/>
    <s v="Normal"/>
    <s v="High"/>
    <s v="Sep-2024"/>
    <n v="2024"/>
  </r>
  <r>
    <s v="ORD-1207"/>
    <s v="2024-09-06"/>
    <s v="CUST001"/>
    <s v="Aarav Sharma"/>
    <x v="0"/>
    <x v="3"/>
    <s v="Odisha"/>
    <s v="Cuttack"/>
    <x v="2"/>
    <s v="Men"/>
    <s v="Men Shirt"/>
    <n v="4"/>
    <n v="1200"/>
    <n v="0"/>
    <n v="4800"/>
    <n v="1081.52"/>
    <n v="156.76"/>
    <s v="Standard Class"/>
    <m/>
    <m/>
    <n v="4800"/>
    <n v="0.22531666666666667"/>
    <s v="Normal"/>
    <s v="No Discount"/>
    <s v="Sep-2024"/>
    <n v="2024"/>
  </r>
  <r>
    <s v="ORD-1208"/>
    <s v="2024-10-11"/>
    <s v="CUST005"/>
    <s v="Amit Singh"/>
    <x v="1"/>
    <x v="1"/>
    <s v="Punjab"/>
    <s v="Chandigarh"/>
    <x v="1"/>
    <s v="Decor"/>
    <s v="Table Lamp"/>
    <n v="3"/>
    <n v="1800"/>
    <n v="0"/>
    <n v="5400"/>
    <n v="1429.87"/>
    <n v="411.09"/>
    <s v="Same Day"/>
    <m/>
    <m/>
    <n v="5400"/>
    <n v="0.26479074074074072"/>
    <s v="Normal"/>
    <s v="No Discount"/>
    <s v="Oct-2024"/>
    <n v="2024"/>
  </r>
  <r>
    <s v="ORD-1209"/>
    <s v="2024-10-06"/>
    <s v="CUST016"/>
    <s v="Sunita Pandey"/>
    <x v="0"/>
    <x v="0"/>
    <s v="Karnataka"/>
    <s v="Mangaluru"/>
    <x v="1"/>
    <s v="Decor"/>
    <s v="Table Lamp"/>
    <n v="3"/>
    <n v="1800"/>
    <n v="0.1"/>
    <n v="4860"/>
    <n v="979"/>
    <n v="265.57"/>
    <s v="First Class"/>
    <m/>
    <m/>
    <n v="4860"/>
    <n v="0.20144032921810701"/>
    <s v="Normal"/>
    <s v="Medium"/>
    <s v="Oct-2024"/>
    <n v="2024"/>
  </r>
  <r>
    <s v="ORD-1210"/>
    <s v="2024-10-17"/>
    <s v="CUST001"/>
    <s v="Aarav Sharma"/>
    <x v="0"/>
    <x v="2"/>
    <s v="Maharashtra"/>
    <s v="Pune"/>
    <x v="2"/>
    <s v="Men"/>
    <s v="Men Shirt"/>
    <n v="5"/>
    <n v="1200"/>
    <n v="0"/>
    <n v="6000"/>
    <n v="532.27"/>
    <n v="272.8"/>
    <s v="Second Class"/>
    <m/>
    <m/>
    <n v="6000"/>
    <n v="8.8711666666666661E-2"/>
    <s v="Normal"/>
    <s v="No Discount"/>
    <s v="Oct-2024"/>
    <n v="2024"/>
  </r>
  <r>
    <s v="ORD-1211"/>
    <s v="2024-10-22"/>
    <s v="CUST024"/>
    <s v="Nisha Tiwari"/>
    <x v="2"/>
    <x v="3"/>
    <s v="West Bengal"/>
    <s v="Siliguri"/>
    <x v="1"/>
    <s v="Furniture"/>
    <s v="Bookshelf"/>
    <n v="2"/>
    <n v="4500"/>
    <n v="0.2"/>
    <n v="7200"/>
    <n v="1809.34"/>
    <n v="445.18"/>
    <s v="First Class"/>
    <m/>
    <m/>
    <n v="7200"/>
    <n v="0.25129722222222223"/>
    <s v="Normal"/>
    <s v="High"/>
    <s v="Oct-2024"/>
    <n v="2024"/>
  </r>
  <r>
    <s v="ORD-1212"/>
    <s v="2024-10-07"/>
    <s v="CUST011"/>
    <s v="Rahul Tiwari"/>
    <x v="2"/>
    <x v="2"/>
    <s v="Rajasthan"/>
    <s v="Jodhpur"/>
    <x v="1"/>
    <s v="Appliances"/>
    <s v="Electric Kettle"/>
    <n v="2"/>
    <n v="1800"/>
    <n v="0.05"/>
    <n v="3420"/>
    <n v="821.7"/>
    <n v="403.17"/>
    <s v="First Class"/>
    <m/>
    <m/>
    <n v="3420"/>
    <n v="0.24026315789473685"/>
    <s v="Normal"/>
    <s v="Low"/>
    <s v="Oct-2024"/>
    <n v="2024"/>
  </r>
  <r>
    <s v="ORD-1213"/>
    <s v="2024-10-10"/>
    <s v="CUST001"/>
    <s v="Aarav Sharma"/>
    <x v="2"/>
    <x v="2"/>
    <s v="Gujarat"/>
    <s v="Surat"/>
    <x v="1"/>
    <s v="Appliances"/>
    <s v="Air Fryer"/>
    <n v="1"/>
    <n v="5500"/>
    <n v="0.2"/>
    <n v="4400"/>
    <n v="1000.11"/>
    <n v="175.43"/>
    <s v="First Class"/>
    <m/>
    <m/>
    <n v="4400"/>
    <n v="0.22729772727272726"/>
    <s v="Normal"/>
    <s v="High"/>
    <s v="Oct-2024"/>
    <n v="2024"/>
  </r>
  <r>
    <s v="ORD-1214"/>
    <s v="2024-10-02"/>
    <s v="CUST024"/>
    <s v="Nisha Tiwari"/>
    <x v="2"/>
    <x v="2"/>
    <s v="Gujarat"/>
    <s v="Surat"/>
    <x v="2"/>
    <s v="Women"/>
    <s v="Women Saree"/>
    <n v="5"/>
    <n v="3500"/>
    <n v="0.05"/>
    <n v="16625"/>
    <n v="2239.9899999999998"/>
    <n v="347.38"/>
    <s v="Standard Class"/>
    <m/>
    <m/>
    <n v="16625"/>
    <n v="0.13473624060150374"/>
    <s v="High Value"/>
    <s v="Low"/>
    <s v="Oct-2024"/>
    <n v="2024"/>
  </r>
  <r>
    <s v="ORD-1215"/>
    <s v="2024-10-01"/>
    <s v="CUST004"/>
    <s v="Sneha Verma"/>
    <x v="1"/>
    <x v="0"/>
    <s v="Karnataka"/>
    <s v="Mangaluru"/>
    <x v="2"/>
    <s v="Women"/>
    <s v="Women Shoes"/>
    <n v="4"/>
    <n v="2400"/>
    <n v="0.05"/>
    <n v="9120"/>
    <n v="1568.81"/>
    <n v="218.02"/>
    <s v="Same Day"/>
    <m/>
    <m/>
    <n v="9120"/>
    <n v="0.17201864035087719"/>
    <s v="Normal"/>
    <s v="Low"/>
    <s v="Oct-2024"/>
    <n v="2024"/>
  </r>
  <r>
    <s v="ORD-1216"/>
    <s v="2024-10-16"/>
    <s v="CUST008"/>
    <s v="Anita Mehta"/>
    <x v="1"/>
    <x v="1"/>
    <s v="Punjab"/>
    <s v="Ludhiana"/>
    <x v="0"/>
    <s v="Mobiles"/>
    <s v="Vivo V27"/>
    <n v="5"/>
    <n v="22000"/>
    <n v="0"/>
    <n v="110000"/>
    <n v="28980.46"/>
    <n v="140.81"/>
    <s v="First Class"/>
    <m/>
    <m/>
    <n v="110000"/>
    <n v="0.26345872727272729"/>
    <s v="High Value"/>
    <s v="No Discount"/>
    <s v="Oct-2024"/>
    <n v="2024"/>
  </r>
  <r>
    <s v="ORD-1217"/>
    <s v="2024-10-22"/>
    <s v="CUST010"/>
    <s v="Pooja Reddy"/>
    <x v="2"/>
    <x v="1"/>
    <s v="Delhi"/>
    <s v="New Delhi"/>
    <x v="1"/>
    <s v="Appliances"/>
    <s v="Induction Cooktop"/>
    <n v="5"/>
    <n v="4000"/>
    <n v="0"/>
    <n v="20000"/>
    <n v="4933.12"/>
    <n v="362.56"/>
    <s v="Same Day"/>
    <m/>
    <m/>
    <n v="20000"/>
    <n v="0.24665599999999999"/>
    <s v="High Value"/>
    <s v="No Discount"/>
    <s v="Oct-2024"/>
    <n v="2024"/>
  </r>
  <r>
    <s v="ORD-1218"/>
    <s v="2024-10-07"/>
    <s v="CUST020"/>
    <s v="Geeta Mishra"/>
    <x v="1"/>
    <x v="3"/>
    <s v="Odisha"/>
    <s v="Cuttack"/>
    <x v="0"/>
    <s v="Accessories"/>
    <s v="Wireless Earbuds"/>
    <n v="1"/>
    <n v="3500"/>
    <n v="0.15"/>
    <n v="2975"/>
    <n v="826.34"/>
    <n v="439.93"/>
    <s v="Second Class"/>
    <m/>
    <m/>
    <n v="2975"/>
    <n v="0.27776134453781515"/>
    <s v="Normal"/>
    <s v="High"/>
    <s v="Oct-2024"/>
    <n v="2024"/>
  </r>
  <r>
    <s v="ORD-1219"/>
    <s v="2024-10-20"/>
    <s v="CUST025"/>
    <s v="Aditya Bhatt"/>
    <x v="2"/>
    <x v="3"/>
    <s v="Odisha"/>
    <s v="Bhubaneswar"/>
    <x v="1"/>
    <s v="Furniture"/>
    <s v="Bookshelf"/>
    <n v="5"/>
    <n v="4500"/>
    <n v="0"/>
    <n v="22500"/>
    <n v="2641.54"/>
    <n v="176.43"/>
    <s v="Same Day"/>
    <m/>
    <m/>
    <n v="22500"/>
    <n v="0.11740177777777777"/>
    <s v="High Value"/>
    <s v="No Discount"/>
    <s v="Oct-2024"/>
    <n v="2024"/>
  </r>
  <r>
    <s v="ORD-1220"/>
    <s v="2024-10-23"/>
    <s v="CUST024"/>
    <s v="Nisha Tiwari"/>
    <x v="2"/>
    <x v="2"/>
    <s v="Rajasthan"/>
    <s v="Jaipur"/>
    <x v="1"/>
    <s v="Appliances"/>
    <s v="Induction Cooktop"/>
    <n v="1"/>
    <n v="4000"/>
    <n v="0"/>
    <n v="4000"/>
    <n v="733.16"/>
    <n v="283.31"/>
    <s v="Same Day"/>
    <m/>
    <m/>
    <n v="4000"/>
    <n v="0.18328999999999998"/>
    <s v="Normal"/>
    <s v="No Discount"/>
    <s v="Oct-2024"/>
    <n v="2024"/>
  </r>
  <r>
    <s v="ORD-1221"/>
    <s v="2024-10-08"/>
    <s v="CUST010"/>
    <s v="Pooja Reddy"/>
    <x v="0"/>
    <x v="1"/>
    <s v="Uttar Pradesh"/>
    <s v="Kanpur"/>
    <x v="2"/>
    <s v="Men"/>
    <s v="Men Jeans"/>
    <n v="3"/>
    <n v="2500"/>
    <n v="0.15"/>
    <n v="6375"/>
    <n v="1769.86"/>
    <n v="222.23"/>
    <s v="Second Class"/>
    <m/>
    <m/>
    <n v="6375"/>
    <n v="0.27762509803921565"/>
    <s v="Normal"/>
    <s v="High"/>
    <s v="Oct-2024"/>
    <n v="2024"/>
  </r>
  <r>
    <s v="ORD-1222"/>
    <s v="2024-10-15"/>
    <s v="CUST019"/>
    <s v="Manoj Das"/>
    <x v="0"/>
    <x v="0"/>
    <s v="Telangana"/>
    <s v="Warangal"/>
    <x v="1"/>
    <s v="Appliances"/>
    <s v="Induction Cooktop"/>
    <n v="5"/>
    <n v="4000"/>
    <n v="0"/>
    <n v="20000"/>
    <n v="2418.85"/>
    <n v="103.71"/>
    <s v="Standard Class"/>
    <m/>
    <m/>
    <n v="20000"/>
    <n v="0.12094249999999999"/>
    <s v="High Value"/>
    <s v="No Discount"/>
    <s v="Oct-2024"/>
    <n v="2024"/>
  </r>
  <r>
    <s v="ORD-1223"/>
    <s v="2024-10-04"/>
    <s v="CUST008"/>
    <s v="Anita Mehta"/>
    <x v="1"/>
    <x v="3"/>
    <s v="Bihar"/>
    <s v="Gaya"/>
    <x v="1"/>
    <s v="Furniture"/>
    <s v="Bookshelf"/>
    <n v="1"/>
    <n v="4500"/>
    <n v="0"/>
    <n v="4500"/>
    <n v="913.38"/>
    <n v="110.15"/>
    <s v="First Class"/>
    <m/>
    <m/>
    <n v="4500"/>
    <n v="0.20297333333333334"/>
    <s v="Normal"/>
    <s v="No Discount"/>
    <s v="Oct-2024"/>
    <n v="2024"/>
  </r>
  <r>
    <s v="ORD-1224"/>
    <s v="2024-10-11"/>
    <s v="CUST021"/>
    <s v="Karan Oberoi"/>
    <x v="1"/>
    <x v="0"/>
    <s v="Telangana"/>
    <s v="Warangal"/>
    <x v="1"/>
    <s v="Decor"/>
    <s v="Cushion Set"/>
    <n v="4"/>
    <n v="1200"/>
    <n v="0"/>
    <n v="4800"/>
    <n v="751.53"/>
    <n v="416.86"/>
    <s v="Standard Class"/>
    <m/>
    <m/>
    <n v="4800"/>
    <n v="0.15656875000000001"/>
    <s v="Normal"/>
    <s v="No Discount"/>
    <s v="Oct-2024"/>
    <n v="2024"/>
  </r>
  <r>
    <s v="ORD-1225"/>
    <s v="2024-10-17"/>
    <s v="CUST022"/>
    <s v="Shruti Agarwal"/>
    <x v="1"/>
    <x v="2"/>
    <s v="Rajasthan"/>
    <s v="Jodhpur"/>
    <x v="0"/>
    <s v="Laptops"/>
    <s v="Dell Inspiron"/>
    <n v="5"/>
    <n v="55000"/>
    <n v="0.05"/>
    <n v="261250"/>
    <n v="69233.39"/>
    <n v="455.34"/>
    <s v="First Class"/>
    <m/>
    <m/>
    <n v="261250"/>
    <n v="0.26500819138755982"/>
    <s v="High Value"/>
    <s v="Low"/>
    <s v="Oct-2024"/>
    <n v="2024"/>
  </r>
  <r>
    <s v="ORD-1226"/>
    <s v="2024-10-23"/>
    <s v="CUST010"/>
    <s v="Pooja Reddy"/>
    <x v="1"/>
    <x v="2"/>
    <s v="Gujarat"/>
    <s v="Ahmedabad"/>
    <x v="1"/>
    <s v="Furniture"/>
    <s v="Sofa"/>
    <n v="2"/>
    <n v="25000"/>
    <n v="0.2"/>
    <n v="40000"/>
    <n v="3503.39"/>
    <n v="361.37"/>
    <s v="Standard Class"/>
    <m/>
    <m/>
    <n v="40000"/>
    <n v="8.7584750000000003E-2"/>
    <s v="High Value"/>
    <s v="High"/>
    <s v="Oct-2024"/>
    <n v="2024"/>
  </r>
  <r>
    <s v="ORD-1227"/>
    <s v="2024-10-07"/>
    <s v="CUST023"/>
    <s v="Ravi Shankar"/>
    <x v="2"/>
    <x v="3"/>
    <s v="West Bengal"/>
    <s v="Kolkata"/>
    <x v="2"/>
    <s v="Women"/>
    <s v="Women Dress"/>
    <n v="3"/>
    <n v="2200"/>
    <n v="0"/>
    <n v="6600"/>
    <n v="625.89"/>
    <n v="371.99"/>
    <s v="First Class"/>
    <m/>
    <m/>
    <n v="6600"/>
    <n v="9.4831818181818184E-2"/>
    <s v="Normal"/>
    <s v="No Discount"/>
    <s v="Oct-2024"/>
    <n v="2024"/>
  </r>
  <r>
    <s v="ORD-1228"/>
    <s v="2024-10-27"/>
    <s v="CUST006"/>
    <s v="Kavya Nair"/>
    <x v="1"/>
    <x v="2"/>
    <s v="Gujarat"/>
    <s v="Surat"/>
    <x v="0"/>
    <s v="Accessories"/>
    <s v="Bluetooth Speaker"/>
    <n v="2"/>
    <n v="4500"/>
    <n v="0.1"/>
    <n v="8100"/>
    <n v="1221.3900000000001"/>
    <n v="483.39"/>
    <s v="Second Class"/>
    <m/>
    <m/>
    <n v="8100"/>
    <n v="0.15078888888888889"/>
    <s v="Normal"/>
    <s v="Medium"/>
    <s v="Oct-2024"/>
    <n v="2024"/>
  </r>
  <r>
    <s v="ORD-1229"/>
    <s v="2024-10-19"/>
    <s v="CUST023"/>
    <s v="Ravi Shankar"/>
    <x v="2"/>
    <x v="2"/>
    <s v="Rajasthan"/>
    <s v="Jodhpur"/>
    <x v="1"/>
    <s v="Appliances"/>
    <s v="Toaster"/>
    <n v="5"/>
    <n v="2200"/>
    <n v="0.2"/>
    <n v="8800"/>
    <n v="1844.44"/>
    <n v="147.99"/>
    <s v="Standard Class"/>
    <m/>
    <m/>
    <n v="8800"/>
    <n v="0.20959545454545456"/>
    <s v="Normal"/>
    <s v="High"/>
    <s v="Oct-2024"/>
    <n v="2024"/>
  </r>
  <r>
    <s v="ORD-1230"/>
    <s v="2024-10-26"/>
    <s v="CUST021"/>
    <s v="Karan Oberoi"/>
    <x v="0"/>
    <x v="3"/>
    <s v="Odisha"/>
    <s v="Bhubaneswar"/>
    <x v="0"/>
    <s v="Mobiles"/>
    <s v="Redmi Note 12"/>
    <n v="5"/>
    <n v="18000"/>
    <n v="0"/>
    <n v="90000"/>
    <n v="17792.75"/>
    <n v="191.15"/>
    <s v="Standard Class"/>
    <m/>
    <m/>
    <n v="90000"/>
    <n v="0.19769722222222222"/>
    <s v="High Value"/>
    <s v="No Discount"/>
    <s v="Oct-2024"/>
    <n v="2024"/>
  </r>
  <r>
    <s v="ORD-1231"/>
    <s v="2024-11-02"/>
    <s v="CUST023"/>
    <s v="Ravi Shankar"/>
    <x v="0"/>
    <x v="2"/>
    <s v="Rajasthan"/>
    <s v="Jodhpur"/>
    <x v="0"/>
    <s v="Laptops"/>
    <s v="Asus VivoBook"/>
    <n v="3"/>
    <n v="42000"/>
    <n v="0.05"/>
    <n v="119700"/>
    <n v="28875.21"/>
    <n v="472.1"/>
    <s v="Same Day"/>
    <m/>
    <m/>
    <n v="119700"/>
    <n v="0.24122982456140349"/>
    <s v="High Value"/>
    <s v="Low"/>
    <s v="Nov-2024"/>
    <n v="2024"/>
  </r>
  <r>
    <s v="ORD-1232"/>
    <s v="2024-11-17"/>
    <s v="CUST012"/>
    <s v="Meera Iyer"/>
    <x v="2"/>
    <x v="2"/>
    <s v="Maharashtra"/>
    <s v="Nagpur"/>
    <x v="2"/>
    <s v="Men"/>
    <s v="Men Shirt"/>
    <n v="5"/>
    <n v="1200"/>
    <n v="0"/>
    <n v="6000"/>
    <n v="520.78"/>
    <n v="472.72"/>
    <s v="Same Day"/>
    <m/>
    <m/>
    <n v="6000"/>
    <n v="8.6796666666666661E-2"/>
    <s v="Normal"/>
    <s v="No Discount"/>
    <s v="Nov-2024"/>
    <n v="2024"/>
  </r>
  <r>
    <s v="ORD-1233"/>
    <s v="2024-11-05"/>
    <s v="CUST010"/>
    <s v="Pooja Reddy"/>
    <x v="0"/>
    <x v="3"/>
    <s v="Bihar"/>
    <s v="Patna"/>
    <x v="0"/>
    <s v="Mobiles"/>
    <s v="Samsung S23"/>
    <n v="2"/>
    <n v="55000"/>
    <n v="0"/>
    <n v="110000"/>
    <n v="21330.62"/>
    <n v="275.77999999999997"/>
    <s v="First Class"/>
    <m/>
    <m/>
    <n v="110000"/>
    <n v="0.19391472727272727"/>
    <s v="High Value"/>
    <s v="No Discount"/>
    <s v="Nov-2024"/>
    <n v="2024"/>
  </r>
  <r>
    <s v="ORD-1234"/>
    <s v="2024-11-15"/>
    <s v="CUST012"/>
    <s v="Meera Iyer"/>
    <x v="2"/>
    <x v="0"/>
    <s v="Tamil Nadu"/>
    <s v="Madurai"/>
    <x v="2"/>
    <s v="Kids"/>
    <s v="School Bag"/>
    <n v="3"/>
    <n v="1500"/>
    <n v="0.05"/>
    <n v="4275"/>
    <n v="1054.02"/>
    <n v="480.07"/>
    <s v="Same Day"/>
    <m/>
    <m/>
    <n v="4275"/>
    <n v="0.24655438596491228"/>
    <s v="Normal"/>
    <s v="Low"/>
    <s v="Nov-2024"/>
    <n v="2024"/>
  </r>
  <r>
    <s v="ORD-1235"/>
    <s v="2024-11-08"/>
    <s v="CUST017"/>
    <s v="Arjun Malhotra"/>
    <x v="2"/>
    <x v="1"/>
    <s v="Delhi"/>
    <s v="Rohini"/>
    <x v="2"/>
    <s v="Women"/>
    <s v="Women Saree"/>
    <n v="1"/>
    <n v="3500"/>
    <n v="0"/>
    <n v="3500"/>
    <n v="892.04"/>
    <n v="403.49"/>
    <s v="First Class"/>
    <m/>
    <m/>
    <n v="3500"/>
    <n v="0.25486857142857144"/>
    <s v="Normal"/>
    <s v="No Discount"/>
    <s v="Nov-2024"/>
    <n v="2024"/>
  </r>
  <r>
    <s v="ORD-1236"/>
    <s v="2024-11-24"/>
    <s v="CUST016"/>
    <s v="Sunita Pandey"/>
    <x v="1"/>
    <x v="2"/>
    <s v="Rajasthan"/>
    <s v="Jaipur"/>
    <x v="0"/>
    <s v="Laptops"/>
    <s v="Dell Inspiron"/>
    <n v="1"/>
    <n v="55000"/>
    <n v="0"/>
    <n v="55000"/>
    <n v="6602.51"/>
    <n v="151.53"/>
    <s v="Same Day"/>
    <m/>
    <m/>
    <n v="55000"/>
    <n v="0.12004563636363637"/>
    <s v="High Value"/>
    <s v="No Discount"/>
    <s v="Nov-2024"/>
    <n v="2024"/>
  </r>
  <r>
    <s v="ORD-1237"/>
    <s v="2024-11-17"/>
    <s v="CUST025"/>
    <s v="Aditya Bhatt"/>
    <x v="0"/>
    <x v="2"/>
    <s v="Gujarat"/>
    <s v="Surat"/>
    <x v="1"/>
    <s v="Appliances"/>
    <s v="Toaster"/>
    <n v="1"/>
    <n v="2200"/>
    <n v="0.05"/>
    <n v="2090"/>
    <n v="553.77"/>
    <n v="431.79"/>
    <s v="Same Day"/>
    <m/>
    <m/>
    <n v="2090"/>
    <n v="0.26496172248803829"/>
    <s v="Normal"/>
    <s v="Low"/>
    <s v="Nov-2024"/>
    <n v="2024"/>
  </r>
  <r>
    <s v="ORD-1238"/>
    <s v="2024-11-24"/>
    <s v="CUST016"/>
    <s v="Sunita Pandey"/>
    <x v="1"/>
    <x v="0"/>
    <s v="Telangana"/>
    <s v="Warangal"/>
    <x v="1"/>
    <s v="Furniture"/>
    <s v="Bookshelf"/>
    <n v="5"/>
    <n v="4500"/>
    <n v="0"/>
    <n v="22500"/>
    <n v="2047.15"/>
    <n v="224.14"/>
    <s v="Second Class"/>
    <m/>
    <m/>
    <n v="22500"/>
    <n v="9.0984444444444451E-2"/>
    <s v="High Value"/>
    <s v="No Discount"/>
    <s v="Nov-2024"/>
    <n v="2024"/>
  </r>
  <r>
    <s v="ORD-1239"/>
    <s v="2024-11-07"/>
    <s v="CUST019"/>
    <s v="Manoj Das"/>
    <x v="2"/>
    <x v="0"/>
    <s v="Karnataka"/>
    <s v="Mysuru"/>
    <x v="1"/>
    <s v="Furniture"/>
    <s v="Office Chair"/>
    <n v="1"/>
    <n v="8500"/>
    <n v="0"/>
    <n v="8500"/>
    <n v="1452.35"/>
    <n v="377.84"/>
    <s v="Standard Class"/>
    <m/>
    <m/>
    <n v="8500"/>
    <n v="0.17086470588235292"/>
    <s v="Normal"/>
    <s v="No Discount"/>
    <s v="Nov-2024"/>
    <n v="2024"/>
  </r>
  <r>
    <s v="ORD-1240"/>
    <s v="2024-11-09"/>
    <s v="CUST021"/>
    <s v="Karan Oberoi"/>
    <x v="1"/>
    <x v="2"/>
    <s v="Rajasthan"/>
    <s v="Jaipur"/>
    <x v="0"/>
    <s v="Mobiles"/>
    <s v="Samsung S23"/>
    <n v="1"/>
    <n v="55000"/>
    <n v="0.15"/>
    <n v="46750"/>
    <n v="10253.43"/>
    <n v="226.28"/>
    <s v="Second Class"/>
    <m/>
    <m/>
    <n v="46750"/>
    <n v="0.21932470588235295"/>
    <s v="High Value"/>
    <s v="High"/>
    <s v="Nov-2024"/>
    <n v="2024"/>
  </r>
  <r>
    <s v="ORD-1241"/>
    <s v="2024-11-08"/>
    <s v="CUST004"/>
    <s v="Sneha Verma"/>
    <x v="2"/>
    <x v="1"/>
    <s v="Uttar Pradesh"/>
    <s v="Kanpur"/>
    <x v="1"/>
    <s v="Decor"/>
    <s v="Wall Clock"/>
    <n v="1"/>
    <n v="1500"/>
    <n v="0.1"/>
    <n v="1350"/>
    <n v="123.68"/>
    <n v="420.62"/>
    <s v="Second Class"/>
    <m/>
    <m/>
    <n v="1350"/>
    <n v="9.1614814814814816E-2"/>
    <s v="Normal"/>
    <s v="Medium"/>
    <s v="Nov-2024"/>
    <n v="2024"/>
  </r>
  <r>
    <s v="ORD-1242"/>
    <s v="2024-11-09"/>
    <s v="CUST011"/>
    <s v="Rahul Tiwari"/>
    <x v="0"/>
    <x v="1"/>
    <s v="Punjab"/>
    <s v="Chandigarh"/>
    <x v="1"/>
    <s v="Decor"/>
    <s v="Table Lamp"/>
    <n v="1"/>
    <n v="1800"/>
    <n v="0"/>
    <n v="1800"/>
    <n v="260.02999999999997"/>
    <n v="72.349999999999994"/>
    <s v="Standard Class"/>
    <m/>
    <m/>
    <n v="1800"/>
    <n v="0.1444611111111111"/>
    <s v="Normal"/>
    <s v="No Discount"/>
    <s v="Nov-2024"/>
    <n v="2024"/>
  </r>
  <r>
    <s v="ORD-1243"/>
    <s v="2024-11-27"/>
    <s v="CUST016"/>
    <s v="Sunita Pandey"/>
    <x v="2"/>
    <x v="2"/>
    <s v="Gujarat"/>
    <s v="Surat"/>
    <x v="1"/>
    <s v="Appliances"/>
    <s v="Mixer Grinder"/>
    <n v="2"/>
    <n v="3200"/>
    <n v="0.1"/>
    <n v="5760"/>
    <n v="1220.6199999999999"/>
    <n v="172.24"/>
    <s v="Same Day"/>
    <m/>
    <m/>
    <n v="5760"/>
    <n v="0.21191319444444442"/>
    <s v="Normal"/>
    <s v="Medium"/>
    <s v="Nov-2024"/>
    <n v="2024"/>
  </r>
  <r>
    <s v="ORD-1244"/>
    <s v="2024-11-09"/>
    <s v="CUST012"/>
    <s v="Meera Iyer"/>
    <x v="2"/>
    <x v="1"/>
    <s v="Delhi"/>
    <s v="Dwarka"/>
    <x v="1"/>
    <s v="Furniture"/>
    <s v="Study Table"/>
    <n v="4"/>
    <n v="6000"/>
    <n v="0.15"/>
    <n v="20400"/>
    <n v="2311.0300000000002"/>
    <n v="387.67"/>
    <s v="First Class"/>
    <m/>
    <m/>
    <n v="20400"/>
    <n v="0.1132857843137255"/>
    <s v="High Value"/>
    <s v="High"/>
    <s v="Nov-2024"/>
    <n v="2024"/>
  </r>
  <r>
    <s v="ORD-1245"/>
    <s v="2024-11-27"/>
    <s v="CUST018"/>
    <s v="Riya Kapoor"/>
    <x v="1"/>
    <x v="0"/>
    <s v="Telangana"/>
    <s v="Hyderabad"/>
    <x v="1"/>
    <s v="Furniture"/>
    <s v="Bookshelf"/>
    <n v="4"/>
    <n v="4500"/>
    <n v="0.15"/>
    <n v="15300"/>
    <n v="2497.4299999999998"/>
    <n v="309.48"/>
    <s v="Same Day"/>
    <m/>
    <m/>
    <n v="15300"/>
    <n v="0.16323071895424834"/>
    <s v="High Value"/>
    <s v="High"/>
    <s v="Nov-2024"/>
    <n v="2024"/>
  </r>
  <r>
    <s v="ORD-1246"/>
    <s v="2024-11-12"/>
    <s v="CUST020"/>
    <s v="Geeta Mishra"/>
    <x v="1"/>
    <x v="2"/>
    <s v="Rajasthan"/>
    <s v="Jaipur"/>
    <x v="1"/>
    <s v="Appliances"/>
    <s v="Air Fryer"/>
    <n v="4"/>
    <n v="5500"/>
    <n v="0.15"/>
    <n v="18700"/>
    <n v="4901.66"/>
    <n v="140.41999999999999"/>
    <s v="Second Class"/>
    <m/>
    <m/>
    <n v="18700"/>
    <n v="0.26212085561497328"/>
    <s v="High Value"/>
    <s v="High"/>
    <s v="Nov-2024"/>
    <n v="2024"/>
  </r>
  <r>
    <s v="ORD-1247"/>
    <s v="2024-11-05"/>
    <s v="CUST016"/>
    <s v="Sunita Pandey"/>
    <x v="1"/>
    <x v="3"/>
    <s v="West Bengal"/>
    <s v="Asansol"/>
    <x v="2"/>
    <s v="Kids"/>
    <s v="Kids Jacket"/>
    <n v="1"/>
    <n v="1800"/>
    <n v="0"/>
    <n v="1800"/>
    <n v="287.43"/>
    <n v="335.05"/>
    <s v="Standard Class"/>
    <m/>
    <m/>
    <n v="1800"/>
    <n v="0.15968333333333334"/>
    <s v="Normal"/>
    <s v="No Discount"/>
    <s v="Nov-2024"/>
    <n v="2024"/>
  </r>
  <r>
    <s v="ORD-1248"/>
    <s v="2024-11-19"/>
    <s v="CUST018"/>
    <s v="Riya Kapoor"/>
    <x v="1"/>
    <x v="3"/>
    <s v="Odisha"/>
    <s v="Bhubaneswar"/>
    <x v="1"/>
    <s v="Furniture"/>
    <s v="Study Table"/>
    <n v="1"/>
    <n v="6000"/>
    <n v="0.15"/>
    <n v="5100"/>
    <n v="778.73"/>
    <n v="190.85"/>
    <s v="First Class"/>
    <m/>
    <m/>
    <n v="5100"/>
    <n v="0.15269215686274509"/>
    <s v="Normal"/>
    <s v="High"/>
    <s v="Nov-2024"/>
    <n v="2024"/>
  </r>
  <r>
    <s v="ORD-1249"/>
    <s v="2024-11-10"/>
    <s v="CUST006"/>
    <s v="Kavya Nair"/>
    <x v="0"/>
    <x v="2"/>
    <s v="Rajasthan"/>
    <s v="Jodhpur"/>
    <x v="2"/>
    <s v="Women"/>
    <s v="Women Blazer"/>
    <n v="2"/>
    <n v="3200"/>
    <n v="0.05"/>
    <n v="6080"/>
    <n v="1019.16"/>
    <n v="169.12"/>
    <s v="Standard Class"/>
    <m/>
    <m/>
    <n v="6080"/>
    <n v="0.167625"/>
    <s v="Normal"/>
    <s v="Low"/>
    <s v="Nov-2024"/>
    <n v="2024"/>
  </r>
  <r>
    <s v="ORD-1250"/>
    <s v="2024-11-07"/>
    <s v="CUST003"/>
    <s v="Rohit Kumar"/>
    <x v="0"/>
    <x v="2"/>
    <s v="Maharashtra"/>
    <s v="Pune"/>
    <x v="1"/>
    <s v="Appliances"/>
    <s v="Induction Cooktop"/>
    <n v="3"/>
    <n v="4000"/>
    <n v="0"/>
    <n v="12000"/>
    <n v="1567.16"/>
    <n v="468.3"/>
    <s v="First Class"/>
    <m/>
    <m/>
    <n v="12000"/>
    <n v="0.13059666666666667"/>
    <s v="High Value"/>
    <s v="No Discount"/>
    <s v="Nov-2024"/>
    <n v="2024"/>
  </r>
  <r>
    <s v="ORD-1251"/>
    <s v="2024-11-04"/>
    <s v="CUST007"/>
    <s v="Deepak Gupta"/>
    <x v="1"/>
    <x v="0"/>
    <s v="Tamil Nadu"/>
    <s v="Coimbatore"/>
    <x v="1"/>
    <s v="Decor"/>
    <s v="Cushion Set"/>
    <n v="5"/>
    <n v="1200"/>
    <n v="0.05"/>
    <n v="5700"/>
    <n v="719.1"/>
    <n v="165.93"/>
    <s v="First Class"/>
    <m/>
    <m/>
    <n v="5700"/>
    <n v="0.12615789473684211"/>
    <s v="Normal"/>
    <s v="Low"/>
    <s v="Nov-2024"/>
    <n v="2024"/>
  </r>
  <r>
    <s v="ORD-1252"/>
    <s v="2024-11-17"/>
    <s v="CUST023"/>
    <s v="Ravi Shankar"/>
    <x v="2"/>
    <x v="3"/>
    <s v="Bihar"/>
    <s v="Gaya"/>
    <x v="2"/>
    <s v="Kids"/>
    <s v="Kids Jeans"/>
    <n v="3"/>
    <n v="1200"/>
    <n v="0.1"/>
    <n v="3240"/>
    <n v="533.66"/>
    <n v="345.18"/>
    <s v="First Class"/>
    <m/>
    <m/>
    <n v="3240"/>
    <n v="0.16470987654320987"/>
    <s v="Normal"/>
    <s v="Medium"/>
    <s v="Nov-2024"/>
    <n v="2024"/>
  </r>
  <r>
    <s v="ORD-1253"/>
    <s v="2024-12-03"/>
    <s v="CUST009"/>
    <s v="Vikram Joshi"/>
    <x v="2"/>
    <x v="0"/>
    <s v="Tamil Nadu"/>
    <s v="Chennai"/>
    <x v="2"/>
    <s v="Women"/>
    <s v="Women Blazer"/>
    <n v="4"/>
    <n v="3200"/>
    <n v="0"/>
    <n v="12800"/>
    <n v="2109.42"/>
    <n v="184.13"/>
    <s v="Same Day"/>
    <m/>
    <m/>
    <n v="12800"/>
    <n v="0.16479843750000001"/>
    <s v="High Value"/>
    <s v="No Discount"/>
    <s v="Dec-2024"/>
    <n v="2024"/>
  </r>
  <r>
    <s v="ORD-1254"/>
    <s v="2024-12-02"/>
    <s v="CUST019"/>
    <s v="Manoj Das"/>
    <x v="1"/>
    <x v="0"/>
    <s v="Tamil Nadu"/>
    <s v="Chennai"/>
    <x v="1"/>
    <s v="Appliances"/>
    <s v="Electric Kettle"/>
    <n v="1"/>
    <n v="1800"/>
    <n v="0.1"/>
    <n v="1620"/>
    <n v="254.99"/>
    <n v="328.07"/>
    <s v="First Class"/>
    <m/>
    <m/>
    <n v="1620"/>
    <n v="0.15740123456790123"/>
    <s v="Normal"/>
    <s v="Medium"/>
    <s v="Dec-2024"/>
    <n v="2024"/>
  </r>
  <r>
    <s v="ORD-1255"/>
    <s v="2024-12-03"/>
    <s v="CUST009"/>
    <s v="Vikram Joshi"/>
    <x v="2"/>
    <x v="0"/>
    <s v="Karnataka"/>
    <s v="Mangaluru"/>
    <x v="2"/>
    <s v="Men"/>
    <s v="Men Shirt"/>
    <n v="5"/>
    <n v="1200"/>
    <n v="0"/>
    <n v="6000"/>
    <n v="1056.22"/>
    <n v="359.28"/>
    <s v="Standard Class"/>
    <m/>
    <m/>
    <n v="6000"/>
    <n v="0.17603666666666667"/>
    <s v="Normal"/>
    <s v="No Discount"/>
    <s v="Dec-2024"/>
    <n v="2024"/>
  </r>
  <r>
    <s v="ORD-1256"/>
    <s v="2024-12-02"/>
    <s v="CUST012"/>
    <s v="Meera Iyer"/>
    <x v="2"/>
    <x v="2"/>
    <s v="Gujarat"/>
    <s v="Surat"/>
    <x v="2"/>
    <s v="Kids"/>
    <s v="Kids Jeans"/>
    <n v="4"/>
    <n v="1200"/>
    <n v="0.1"/>
    <n v="4320"/>
    <n v="738.91"/>
    <n v="239.33"/>
    <s v="Standard Class"/>
    <m/>
    <m/>
    <n v="4320"/>
    <n v="0.17104398148148148"/>
    <s v="Normal"/>
    <s v="Medium"/>
    <s v="Dec-2024"/>
    <n v="2024"/>
  </r>
  <r>
    <s v="ORD-1257"/>
    <s v="2024-12-23"/>
    <s v="CUST004"/>
    <s v="Sneha Verma"/>
    <x v="2"/>
    <x v="3"/>
    <s v="Bihar"/>
    <s v="Gaya"/>
    <x v="1"/>
    <s v="Appliances"/>
    <s v="Air Fryer"/>
    <n v="4"/>
    <n v="5500"/>
    <n v="0"/>
    <n v="22000"/>
    <n v="5758.01"/>
    <n v="220.82"/>
    <s v="Standard Class"/>
    <m/>
    <m/>
    <n v="22000"/>
    <n v="0.26172772727272731"/>
    <s v="High Value"/>
    <s v="No Discount"/>
    <s v="Dec-2024"/>
    <n v="2024"/>
  </r>
  <r>
    <s v="ORD-1258"/>
    <s v="2024-12-07"/>
    <s v="CUST001"/>
    <s v="Aarav Sharma"/>
    <x v="2"/>
    <x v="3"/>
    <s v="West Bengal"/>
    <s v="Kolkata"/>
    <x v="1"/>
    <s v="Appliances"/>
    <s v="Air Fryer"/>
    <n v="5"/>
    <n v="5500"/>
    <n v="0.1"/>
    <n v="24750"/>
    <n v="4934.63"/>
    <n v="51.72"/>
    <s v="First Class"/>
    <m/>
    <m/>
    <n v="24750"/>
    <n v="0.19937898989898992"/>
    <s v="High Value"/>
    <s v="Medium"/>
    <s v="Dec-2024"/>
    <n v="2024"/>
  </r>
  <r>
    <s v="ORD-1259"/>
    <s v="2024-12-28"/>
    <s v="CUST021"/>
    <s v="Karan Oberoi"/>
    <x v="1"/>
    <x v="0"/>
    <s v="Karnataka"/>
    <s v="Mangaluru"/>
    <x v="1"/>
    <s v="Decor"/>
    <s v="Cushion Set"/>
    <n v="3"/>
    <n v="1200"/>
    <n v="0.2"/>
    <n v="2880"/>
    <n v="764.18"/>
    <n v="409.96"/>
    <s v="Second Class"/>
    <m/>
    <m/>
    <n v="2880"/>
    <n v="0.26534027777777774"/>
    <s v="Normal"/>
    <s v="High"/>
    <s v="Dec-2024"/>
    <n v="2024"/>
  </r>
  <r>
    <s v="ORD-1260"/>
    <s v="2024-12-11"/>
    <s v="CUST005"/>
    <s v="Amit Singh"/>
    <x v="0"/>
    <x v="1"/>
    <s v="Delhi"/>
    <s v="Rohini"/>
    <x v="1"/>
    <s v="Decor"/>
    <s v="Cushion Set"/>
    <n v="4"/>
    <n v="1200"/>
    <n v="0.2"/>
    <n v="3840"/>
    <n v="845.21"/>
    <n v="499.5"/>
    <s v="First Class"/>
    <m/>
    <m/>
    <n v="3840"/>
    <n v="0.22010677083333335"/>
    <s v="Normal"/>
    <s v="High"/>
    <s v="Dec-2024"/>
    <n v="2024"/>
  </r>
  <r>
    <s v="ORD-1261"/>
    <s v="2024-12-02"/>
    <s v="CUST017"/>
    <s v="Arjun Malhotra"/>
    <x v="1"/>
    <x v="0"/>
    <s v="Tamil Nadu"/>
    <s v="Coimbatore"/>
    <x v="1"/>
    <s v="Decor"/>
    <s v="Wall Clock"/>
    <n v="1"/>
    <n v="1500"/>
    <n v="0"/>
    <n v="1500"/>
    <n v="339.67"/>
    <n v="347.38"/>
    <s v="Second Class"/>
    <m/>
    <m/>
    <n v="1500"/>
    <n v="0.22644666666666668"/>
    <s v="Normal"/>
    <s v="No Discount"/>
    <s v="Dec-2024"/>
    <n v="2024"/>
  </r>
  <r>
    <s v="ORD-1262"/>
    <s v="2024-12-18"/>
    <s v="CUST025"/>
    <s v="Aditya Bhatt"/>
    <x v="0"/>
    <x v="0"/>
    <s v="Karnataka"/>
    <s v="Mysuru"/>
    <x v="2"/>
    <s v="Men"/>
    <s v="Men Kurta"/>
    <n v="3"/>
    <n v="1500"/>
    <n v="0"/>
    <n v="4500"/>
    <n v="648.27"/>
    <n v="126.49"/>
    <s v="Same Day"/>
    <m/>
    <m/>
    <n v="4500"/>
    <n v="0.14405999999999999"/>
    <s v="Normal"/>
    <s v="No Discount"/>
    <s v="Dec-2024"/>
    <n v="2024"/>
  </r>
  <r>
    <s v="ORD-1263"/>
    <s v="2024-12-23"/>
    <s v="CUST013"/>
    <s v="Sanjay Yadav"/>
    <x v="1"/>
    <x v="3"/>
    <s v="West Bengal"/>
    <s v="Kolkata"/>
    <x v="0"/>
    <s v="Accessories"/>
    <s v="Power Bank"/>
    <n v="3"/>
    <n v="1200"/>
    <n v="0"/>
    <n v="3600"/>
    <n v="650.09"/>
    <n v="199.43"/>
    <s v="Second Class"/>
    <m/>
    <m/>
    <n v="3600"/>
    <n v="0.18058055555555558"/>
    <s v="Normal"/>
    <s v="No Discount"/>
    <s v="Dec-2024"/>
    <n v="2024"/>
  </r>
  <r>
    <s v="ORD-1264"/>
    <s v="2024-12-16"/>
    <s v="CUST024"/>
    <s v="Nisha Tiwari"/>
    <x v="2"/>
    <x v="3"/>
    <s v="Odisha"/>
    <s v="Cuttack"/>
    <x v="0"/>
    <s v="Accessories"/>
    <s v="Power Bank"/>
    <n v="1"/>
    <n v="1200"/>
    <n v="0.2"/>
    <n v="960"/>
    <n v="250.1"/>
    <n v="336.95"/>
    <s v="Second Class"/>
    <m/>
    <m/>
    <n v="960"/>
    <n v="0.26052083333333331"/>
    <s v="Normal"/>
    <s v="High"/>
    <s v="Dec-2024"/>
    <n v="2024"/>
  </r>
  <r>
    <s v="ORD-1265"/>
    <s v="2024-12-25"/>
    <s v="CUST015"/>
    <s v="Nikhil Bose"/>
    <x v="2"/>
    <x v="2"/>
    <s v="Gujarat"/>
    <s v="Ahmedabad"/>
    <x v="1"/>
    <s v="Appliances"/>
    <s v="Induction Cooktop"/>
    <n v="2"/>
    <n v="4000"/>
    <n v="0.1"/>
    <n v="7200"/>
    <n v="1044.5"/>
    <n v="238.34"/>
    <s v="Standard Class"/>
    <m/>
    <m/>
    <n v="7200"/>
    <n v="0.14506944444444445"/>
    <s v="Normal"/>
    <s v="Medium"/>
    <s v="Dec-2024"/>
    <n v="2024"/>
  </r>
  <r>
    <s v="ORD-1266"/>
    <s v="2024-12-19"/>
    <s v="CUST001"/>
    <s v="Aarav Sharma"/>
    <x v="1"/>
    <x v="2"/>
    <s v="Gujarat"/>
    <s v="Surat"/>
    <x v="0"/>
    <s v="Accessories"/>
    <s v="Wireless Earbuds"/>
    <n v="4"/>
    <n v="3500"/>
    <n v="0.1"/>
    <n v="12600"/>
    <n v="2227.46"/>
    <n v="412.63"/>
    <s v="Second Class"/>
    <m/>
    <m/>
    <n v="12600"/>
    <n v="0.17678253968253968"/>
    <s v="High Value"/>
    <s v="Medium"/>
    <s v="Dec-2024"/>
    <n v="2024"/>
  </r>
  <r>
    <s v="ORD-1267"/>
    <s v="2024-12-12"/>
    <s v="CUST001"/>
    <s v="Aarav Sharma"/>
    <x v="1"/>
    <x v="2"/>
    <s v="Gujarat"/>
    <s v="Vadodara"/>
    <x v="0"/>
    <s v="Mobiles"/>
    <s v="Vivo V27"/>
    <n v="2"/>
    <n v="22000"/>
    <n v="0"/>
    <n v="44000"/>
    <n v="5940.37"/>
    <n v="168"/>
    <s v="Second Class"/>
    <m/>
    <m/>
    <n v="44000"/>
    <n v="0.13500840909090908"/>
    <s v="High Value"/>
    <s v="No Discount"/>
    <s v="Dec-2024"/>
    <n v="2024"/>
  </r>
  <r>
    <s v="ORD-1268"/>
    <s v="2024-12-01"/>
    <s v="CUST020"/>
    <s v="Geeta Mishra"/>
    <x v="1"/>
    <x v="2"/>
    <s v="Gujarat"/>
    <s v="Vadodara"/>
    <x v="2"/>
    <s v="Kids"/>
    <s v="School Bag"/>
    <n v="5"/>
    <n v="1500"/>
    <n v="0"/>
    <n v="7500"/>
    <n v="1900.05"/>
    <n v="456.49"/>
    <s v="Same Day"/>
    <m/>
    <m/>
    <n v="7500"/>
    <n v="0.25334000000000001"/>
    <s v="Normal"/>
    <s v="No Discount"/>
    <s v="Dec-2024"/>
    <n v="2024"/>
  </r>
  <r>
    <s v="ORD-1269"/>
    <s v="2024-12-28"/>
    <s v="CUST025"/>
    <s v="Aditya Bhatt"/>
    <x v="1"/>
    <x v="1"/>
    <s v="Delhi"/>
    <s v="Rohini"/>
    <x v="2"/>
    <s v="Kids"/>
    <s v="School Bag"/>
    <n v="1"/>
    <n v="1500"/>
    <n v="0"/>
    <n v="1500"/>
    <n v="307.62"/>
    <n v="148.57"/>
    <s v="First Class"/>
    <m/>
    <m/>
    <n v="1500"/>
    <n v="0.20508000000000001"/>
    <s v="Normal"/>
    <s v="No Discount"/>
    <s v="Dec-2024"/>
    <n v="2024"/>
  </r>
  <r>
    <s v="ORD-1270"/>
    <s v="2024-12-06"/>
    <s v="CUST007"/>
    <s v="Deepak Gupta"/>
    <x v="0"/>
    <x v="2"/>
    <s v="Maharashtra"/>
    <s v="Pune"/>
    <x v="0"/>
    <s v="Laptops"/>
    <s v="MacBook Air"/>
    <n v="3"/>
    <n v="115000"/>
    <n v="0"/>
    <n v="345000"/>
    <n v="54591"/>
    <n v="376.34"/>
    <s v="Second Class"/>
    <m/>
    <m/>
    <n v="345000"/>
    <n v="0.15823478260869564"/>
    <s v="High Value"/>
    <s v="No Discount"/>
    <s v="Dec-2024"/>
    <n v="2024"/>
  </r>
  <r>
    <s v="ORD-1271"/>
    <s v="2024-12-03"/>
    <s v="CUST012"/>
    <s v="Meera Iyer"/>
    <x v="2"/>
    <x v="1"/>
    <s v="Delhi"/>
    <s v="Rohini"/>
    <x v="1"/>
    <s v="Furniture"/>
    <s v="Bookshelf"/>
    <n v="4"/>
    <n v="4500"/>
    <n v="0"/>
    <n v="18000"/>
    <n v="2317.84"/>
    <n v="135.18"/>
    <s v="Standard Class"/>
    <m/>
    <m/>
    <n v="18000"/>
    <n v="0.1287688888888889"/>
    <s v="High Value"/>
    <s v="No Discount"/>
    <s v="Dec-2024"/>
    <n v="2024"/>
  </r>
  <r>
    <s v="ORD-1272"/>
    <s v="2024-12-16"/>
    <s v="CUST004"/>
    <s v="Sneha Verma"/>
    <x v="1"/>
    <x v="1"/>
    <s v="Delhi"/>
    <s v="Rohini"/>
    <x v="1"/>
    <s v="Furniture"/>
    <s v="Study Table"/>
    <n v="4"/>
    <n v="6000"/>
    <n v="0.2"/>
    <n v="19200"/>
    <n v="4298.45"/>
    <n v="465.49"/>
    <s v="First Class"/>
    <m/>
    <m/>
    <n v="19200"/>
    <n v="0.22387760416666666"/>
    <s v="High Value"/>
    <s v="High"/>
    <s v="Dec-2024"/>
    <n v="2024"/>
  </r>
  <r>
    <s v="ORD-1273"/>
    <s v="2024-12-03"/>
    <s v="CUST012"/>
    <s v="Meera Iyer"/>
    <x v="1"/>
    <x v="3"/>
    <s v="Odisha"/>
    <s v="Bhubaneswar"/>
    <x v="2"/>
    <s v="Women"/>
    <s v="Women Shoes"/>
    <n v="1"/>
    <n v="2400"/>
    <n v="0"/>
    <n v="2400"/>
    <n v="615.9"/>
    <n v="371.11"/>
    <s v="Second Class"/>
    <m/>
    <m/>
    <n v="2400"/>
    <n v="0.25662499999999999"/>
    <s v="Normal"/>
    <s v="No Discount"/>
    <s v="Dec-2024"/>
    <n v="2024"/>
  </r>
  <r>
    <s v="ORD-1274"/>
    <s v="2024-12-05"/>
    <s v="CUST003"/>
    <s v="Rohit Kumar"/>
    <x v="2"/>
    <x v="3"/>
    <s v="Bihar"/>
    <s v="Gaya"/>
    <x v="1"/>
    <s v="Furniture"/>
    <s v="Sofa"/>
    <n v="3"/>
    <n v="25000"/>
    <n v="0"/>
    <n v="75000"/>
    <n v="13041.3"/>
    <n v="69.95"/>
    <s v="Same Day"/>
    <m/>
    <m/>
    <n v="75000"/>
    <n v="0.17388399999999998"/>
    <s v="High Value"/>
    <s v="No Discount"/>
    <s v="Dec-2024"/>
    <n v="2024"/>
  </r>
  <r>
    <m/>
    <m/>
    <m/>
    <m/>
    <x v="3"/>
    <x v="4"/>
    <m/>
    <m/>
    <x v="3"/>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
  <r>
    <s v="ORD-1001"/>
    <x v="0"/>
    <s v="CUST007"/>
    <s v="Deepak Gupta"/>
    <x v="0"/>
    <x v="0"/>
    <s v="Karnataka"/>
    <s v="Bengaluru"/>
    <x v="0"/>
    <s v="Mobiles"/>
    <s v="OnePlus 11"/>
    <n v="4"/>
    <n v="40000"/>
    <n v="0.1"/>
    <n v="144000"/>
    <n v="31228.09"/>
    <n v="292.38"/>
    <s v="Same Day"/>
    <m/>
    <m/>
    <n v="144000"/>
    <n v="0.21686173611111112"/>
    <s v="High Value"/>
    <s v="Medium"/>
    <x v="0"/>
    <n v="2024"/>
  </r>
  <r>
    <s v="ORD-1002"/>
    <x v="1"/>
    <s v="CUST014"/>
    <s v="Divya Chauhan"/>
    <x v="0"/>
    <x v="0"/>
    <s v="Tamil Nadu"/>
    <s v="Coimbatore"/>
    <x v="1"/>
    <s v="Furniture"/>
    <s v="Study Table"/>
    <n v="4"/>
    <n v="6000"/>
    <n v="0.15"/>
    <n v="20400"/>
    <n v="2362.3200000000002"/>
    <n v="305.11"/>
    <s v="Standard Class"/>
    <m/>
    <m/>
    <n v="20400"/>
    <n v="0.11580000000000001"/>
    <s v="High Value"/>
    <s v="High"/>
    <x v="0"/>
    <n v="2024"/>
  </r>
  <r>
    <s v="ORD-1003"/>
    <x v="2"/>
    <s v="CUST017"/>
    <s v="Arjun Malhotra"/>
    <x v="0"/>
    <x v="1"/>
    <s v="Uttar Pradesh"/>
    <s v="Agra"/>
    <x v="2"/>
    <s v="Men"/>
    <s v="Men Jacket"/>
    <n v="5"/>
    <n v="3500"/>
    <n v="0"/>
    <n v="17500"/>
    <n v="2888.22"/>
    <n v="213.14"/>
    <s v="Standard Class"/>
    <m/>
    <m/>
    <n v="17500"/>
    <n v="0.16504114285714286"/>
    <s v="High Value"/>
    <s v="No Discount"/>
    <x v="0"/>
    <n v="2024"/>
  </r>
  <r>
    <s v="ORD-1004"/>
    <x v="3"/>
    <s v="CUST017"/>
    <s v="Arjun Malhotra"/>
    <x v="1"/>
    <x v="2"/>
    <s v="Maharashtra"/>
    <s v="Pune"/>
    <x v="0"/>
    <s v="Mobiles"/>
    <s v="Samsung S23"/>
    <n v="4"/>
    <n v="55000"/>
    <n v="0.1"/>
    <n v="198000"/>
    <n v="52463.94"/>
    <n v="129.93"/>
    <s v="Second Class"/>
    <m/>
    <m/>
    <n v="198000"/>
    <n v="0.26496939393939395"/>
    <s v="High Value"/>
    <s v="Medium"/>
    <x v="0"/>
    <n v="2024"/>
  </r>
  <r>
    <s v="ORD-1005"/>
    <x v="4"/>
    <s v="CUST004"/>
    <s v="Sneha Verma"/>
    <x v="1"/>
    <x v="0"/>
    <s v="Tamil Nadu"/>
    <s v="Madurai"/>
    <x v="2"/>
    <s v="Men"/>
    <s v="Men Shoes"/>
    <n v="1"/>
    <n v="2800"/>
    <n v="0"/>
    <n v="2800"/>
    <n v="397.49"/>
    <n v="52.55"/>
    <s v="First Class"/>
    <m/>
    <m/>
    <n v="2800"/>
    <n v="0.1419607142857143"/>
    <s v="Normal"/>
    <s v="No Discount"/>
    <x v="0"/>
    <n v="2024"/>
  </r>
  <r>
    <s v="ORD-1006"/>
    <x v="5"/>
    <s v="CUST017"/>
    <s v="Arjun Malhotra"/>
    <x v="2"/>
    <x v="0"/>
    <s v="Karnataka"/>
    <s v="Mangaluru"/>
    <x v="0"/>
    <s v="Laptops"/>
    <s v="Lenovo IdeaPad"/>
    <n v="5"/>
    <n v="45000"/>
    <n v="0.05"/>
    <n v="213750"/>
    <n v="52374.47"/>
    <n v="106.86"/>
    <s v="Same Day"/>
    <m/>
    <m/>
    <n v="213750"/>
    <n v="0.24502676023391814"/>
    <s v="High Value"/>
    <s v="Low"/>
    <x v="0"/>
    <n v="2024"/>
  </r>
  <r>
    <s v="ORD-1007"/>
    <x v="4"/>
    <s v="CUST005"/>
    <s v="Amit Singh"/>
    <x v="0"/>
    <x v="0"/>
    <s v="Telangana"/>
    <s v="Warangal"/>
    <x v="0"/>
    <s v="Mobiles"/>
    <s v="iPhone 14"/>
    <n v="2"/>
    <n v="75000"/>
    <n v="0"/>
    <n v="150000"/>
    <n v="17224.05"/>
    <n v="129.94"/>
    <s v="Second Class"/>
    <m/>
    <m/>
    <n v="150000"/>
    <n v="0.114827"/>
    <s v="High Value"/>
    <s v="No Discount"/>
    <x v="0"/>
    <n v="2024"/>
  </r>
  <r>
    <s v="ORD-1008"/>
    <x v="1"/>
    <s v="CUST018"/>
    <s v="Riya Kapoor"/>
    <x v="2"/>
    <x v="2"/>
    <s v="Maharashtra"/>
    <s v="Pune"/>
    <x v="0"/>
    <s v="Laptops"/>
    <s v="HP Pavilion"/>
    <n v="1"/>
    <n v="50000"/>
    <n v="0.1"/>
    <n v="45000"/>
    <n v="6189.43"/>
    <n v="313.56"/>
    <s v="Standard Class"/>
    <m/>
    <m/>
    <n v="45000"/>
    <n v="0.13754288888888891"/>
    <s v="High Value"/>
    <s v="Medium"/>
    <x v="0"/>
    <n v="2024"/>
  </r>
  <r>
    <s v="ORD-1009"/>
    <x v="6"/>
    <s v="CUST007"/>
    <s v="Deepak Gupta"/>
    <x v="2"/>
    <x v="2"/>
    <s v="Gujarat"/>
    <s v="Surat"/>
    <x v="2"/>
    <s v="Women"/>
    <s v="Women Saree"/>
    <n v="5"/>
    <n v="3500"/>
    <n v="0"/>
    <n v="17500"/>
    <n v="2034.29"/>
    <n v="66.92"/>
    <s v="First Class"/>
    <m/>
    <m/>
    <n v="17500"/>
    <n v="0.11624514285714285"/>
    <s v="High Value"/>
    <s v="No Discount"/>
    <x v="0"/>
    <n v="2024"/>
  </r>
  <r>
    <s v="ORD-1010"/>
    <x v="7"/>
    <s v="CUST013"/>
    <s v="Sanjay Yadav"/>
    <x v="2"/>
    <x v="0"/>
    <s v="Tamil Nadu"/>
    <s v="Madurai"/>
    <x v="0"/>
    <s v="Accessories"/>
    <s v="Power Bank"/>
    <n v="1"/>
    <n v="1200"/>
    <n v="0.2"/>
    <n v="960"/>
    <n v="208.87"/>
    <n v="191.27"/>
    <s v="Second Class"/>
    <m/>
    <m/>
    <n v="960"/>
    <n v="0.21757291666666667"/>
    <s v="Normal"/>
    <s v="High"/>
    <x v="0"/>
    <n v="2024"/>
  </r>
  <r>
    <s v="ORD-1011"/>
    <x v="0"/>
    <s v="CUST010"/>
    <s v="Pooja Reddy"/>
    <x v="2"/>
    <x v="1"/>
    <s v="Uttar Pradesh"/>
    <s v="Kanpur"/>
    <x v="2"/>
    <s v="Men"/>
    <s v="Men Kurta"/>
    <n v="3"/>
    <n v="1500"/>
    <n v="0.15"/>
    <n v="3825"/>
    <n v="975.06"/>
    <n v="404.69"/>
    <s v="Second Class"/>
    <m/>
    <m/>
    <n v="3825"/>
    <n v="0.25491764705882353"/>
    <s v="Normal"/>
    <s v="High"/>
    <x v="0"/>
    <n v="2024"/>
  </r>
  <r>
    <s v="ORD-1012"/>
    <x v="8"/>
    <s v="CUST014"/>
    <s v="Divya Chauhan"/>
    <x v="2"/>
    <x v="2"/>
    <s v="Rajasthan"/>
    <s v="Jaipur"/>
    <x v="2"/>
    <s v="Women"/>
    <s v="Women Blazer"/>
    <n v="5"/>
    <n v="3200"/>
    <n v="0.15"/>
    <n v="13600"/>
    <n v="3032.33"/>
    <n v="137.51"/>
    <s v="First Class"/>
    <m/>
    <m/>
    <n v="13600"/>
    <n v="0.22296544117647057"/>
    <s v="High Value"/>
    <s v="High"/>
    <x v="0"/>
    <n v="2024"/>
  </r>
  <r>
    <s v="ORD-1013"/>
    <x v="1"/>
    <s v="CUST012"/>
    <s v="Meera Iyer"/>
    <x v="1"/>
    <x v="3"/>
    <s v="Bihar"/>
    <s v="Gaya"/>
    <x v="0"/>
    <s v="Accessories"/>
    <s v="Smartwatch"/>
    <n v="3"/>
    <n v="8000"/>
    <n v="0.15"/>
    <n v="20400"/>
    <n v="3332.19"/>
    <n v="388.69"/>
    <s v="Second Class"/>
    <m/>
    <m/>
    <n v="20400"/>
    <n v="0.16334264705882354"/>
    <s v="High Value"/>
    <s v="High"/>
    <x v="0"/>
    <n v="2024"/>
  </r>
  <r>
    <s v="ORD-1014"/>
    <x v="9"/>
    <s v="CUST012"/>
    <s v="Meera Iyer"/>
    <x v="0"/>
    <x v="2"/>
    <s v="Maharashtra"/>
    <s v="Mumbai"/>
    <x v="1"/>
    <s v="Decor"/>
    <s v="Photo Frame"/>
    <n v="1"/>
    <n v="600"/>
    <n v="0.1"/>
    <n v="540"/>
    <n v="76.739999999999995"/>
    <n v="352.54"/>
    <s v="Second Class"/>
    <m/>
    <m/>
    <n v="540"/>
    <n v="0.1421111111111111"/>
    <s v="Normal"/>
    <s v="Medium"/>
    <x v="0"/>
    <n v="2024"/>
  </r>
  <r>
    <s v="ORD-1015"/>
    <x v="10"/>
    <s v="CUST015"/>
    <s v="Nikhil Bose"/>
    <x v="1"/>
    <x v="3"/>
    <s v="Bihar"/>
    <s v="Gaya"/>
    <x v="2"/>
    <s v="Kids"/>
    <s v="Kids Jacket"/>
    <n v="5"/>
    <n v="1800"/>
    <n v="0.2"/>
    <n v="7200"/>
    <n v="1485.64"/>
    <n v="394.27"/>
    <s v="First Class"/>
    <m/>
    <m/>
    <n v="7200"/>
    <n v="0.20633888888888891"/>
    <s v="Normal"/>
    <s v="High"/>
    <x v="0"/>
    <n v="2024"/>
  </r>
  <r>
    <s v="ORD-1016"/>
    <x v="1"/>
    <s v="CUST024"/>
    <s v="Nisha Tiwari"/>
    <x v="1"/>
    <x v="1"/>
    <s v="Uttar Pradesh"/>
    <s v="Lucknow"/>
    <x v="1"/>
    <s v="Furniture"/>
    <s v="Office Chair"/>
    <n v="4"/>
    <n v="8500"/>
    <n v="0"/>
    <n v="34000"/>
    <n v="5230.74"/>
    <n v="300.75"/>
    <s v="First Class"/>
    <m/>
    <m/>
    <n v="34000"/>
    <n v="0.15384529411764705"/>
    <s v="High Value"/>
    <s v="No Discount"/>
    <x v="0"/>
    <n v="2024"/>
  </r>
  <r>
    <s v="ORD-1017"/>
    <x v="1"/>
    <s v="CUST025"/>
    <s v="Aditya Bhatt"/>
    <x v="1"/>
    <x v="2"/>
    <s v="Gujarat"/>
    <s v="Ahmedabad"/>
    <x v="2"/>
    <s v="Women"/>
    <s v="Women Saree"/>
    <n v="2"/>
    <n v="3500"/>
    <n v="0"/>
    <n v="7000"/>
    <n v="1822.47"/>
    <n v="440.57"/>
    <s v="Same Day"/>
    <m/>
    <m/>
    <n v="7000"/>
    <n v="0.26035285714285716"/>
    <s v="Normal"/>
    <s v="No Discount"/>
    <x v="0"/>
    <n v="2024"/>
  </r>
  <r>
    <s v="ORD-1018"/>
    <x v="9"/>
    <s v="CUST018"/>
    <s v="Riya Kapoor"/>
    <x v="0"/>
    <x v="0"/>
    <s v="Tamil Nadu"/>
    <s v="Coimbatore"/>
    <x v="0"/>
    <s v="Laptops"/>
    <s v="MacBook Air"/>
    <n v="5"/>
    <n v="115000"/>
    <n v="0.2"/>
    <n v="460000"/>
    <n v="118658.26"/>
    <n v="222.19"/>
    <s v="Same Day"/>
    <m/>
    <m/>
    <n v="460000"/>
    <n v="0.25795273913043476"/>
    <s v="High Value"/>
    <s v="High"/>
    <x v="0"/>
    <n v="2024"/>
  </r>
  <r>
    <s v="ORD-1019"/>
    <x v="11"/>
    <s v="CUST021"/>
    <s v="Karan Oberoi"/>
    <x v="2"/>
    <x v="0"/>
    <s v="Karnataka"/>
    <s v="Mangaluru"/>
    <x v="0"/>
    <s v="Laptops"/>
    <s v="Asus VivoBook"/>
    <n v="1"/>
    <n v="42000"/>
    <n v="0"/>
    <n v="42000"/>
    <n v="6129.87"/>
    <n v="272.36"/>
    <s v="First Class"/>
    <m/>
    <m/>
    <n v="42000"/>
    <n v="0.1459492857142857"/>
    <s v="High Value"/>
    <s v="No Discount"/>
    <x v="0"/>
    <n v="2024"/>
  </r>
  <r>
    <s v="ORD-1020"/>
    <x v="12"/>
    <s v="CUST024"/>
    <s v="Nisha Tiwari"/>
    <x v="1"/>
    <x v="3"/>
    <s v="Bihar"/>
    <s v="Patna"/>
    <x v="1"/>
    <s v="Appliances"/>
    <s v="Toaster"/>
    <n v="3"/>
    <n v="2200"/>
    <n v="0"/>
    <n v="6600"/>
    <n v="707.72"/>
    <n v="464"/>
    <s v="Same Day"/>
    <m/>
    <m/>
    <n v="6600"/>
    <n v="0.10723030303030304"/>
    <s v="Normal"/>
    <s v="No Discount"/>
    <x v="0"/>
    <n v="2024"/>
  </r>
  <r>
    <s v="ORD-1021"/>
    <x v="4"/>
    <s v="CUST002"/>
    <s v="Priya Patel"/>
    <x v="2"/>
    <x v="0"/>
    <s v="Telangana"/>
    <s v="Warangal"/>
    <x v="0"/>
    <s v="Laptops"/>
    <s v="Dell Inspiron"/>
    <n v="4"/>
    <n v="55000"/>
    <n v="0"/>
    <n v="220000"/>
    <n v="53035.59"/>
    <n v="102.73"/>
    <s v="Second Class"/>
    <m/>
    <m/>
    <n v="220000"/>
    <n v="0.24107086363636362"/>
    <s v="High Value"/>
    <s v="No Discount"/>
    <x v="0"/>
    <n v="2024"/>
  </r>
  <r>
    <s v="ORD-1022"/>
    <x v="8"/>
    <s v="CUST009"/>
    <s v="Vikram Joshi"/>
    <x v="0"/>
    <x v="3"/>
    <s v="West Bengal"/>
    <s v="Siliguri"/>
    <x v="0"/>
    <s v="Accessories"/>
    <s v="Smartwatch"/>
    <n v="3"/>
    <n v="8000"/>
    <n v="0.15"/>
    <n v="20400"/>
    <n v="5548.64"/>
    <n v="290.73"/>
    <s v="Standard Class"/>
    <m/>
    <m/>
    <n v="20400"/>
    <n v="0.27199215686274514"/>
    <s v="High Value"/>
    <s v="High"/>
    <x v="0"/>
    <n v="2024"/>
  </r>
  <r>
    <s v="ORD-1023"/>
    <x v="7"/>
    <s v="CUST005"/>
    <s v="Amit Singh"/>
    <x v="1"/>
    <x v="0"/>
    <s v="Telangana"/>
    <s v="Hyderabad"/>
    <x v="0"/>
    <s v="Accessories"/>
    <s v="USB Hub"/>
    <n v="2"/>
    <n v="800"/>
    <n v="0"/>
    <n v="1600"/>
    <n v="406.68"/>
    <n v="372.62"/>
    <s v="Second Class"/>
    <m/>
    <m/>
    <n v="1600"/>
    <n v="0.25417499999999998"/>
    <s v="Normal"/>
    <s v="No Discount"/>
    <x v="0"/>
    <n v="2024"/>
  </r>
  <r>
    <s v="ORD-1024"/>
    <x v="6"/>
    <s v="CUST025"/>
    <s v="Aditya Bhatt"/>
    <x v="1"/>
    <x v="3"/>
    <s v="Bihar"/>
    <s v="Gaya"/>
    <x v="0"/>
    <s v="Laptops"/>
    <s v="HP Pavilion"/>
    <n v="1"/>
    <n v="50000"/>
    <n v="0"/>
    <n v="50000"/>
    <n v="8965.57"/>
    <n v="484.99"/>
    <s v="Standard Class"/>
    <m/>
    <m/>
    <n v="50000"/>
    <n v="0.17931139999999998"/>
    <s v="High Value"/>
    <s v="No Discount"/>
    <x v="0"/>
    <n v="2024"/>
  </r>
  <r>
    <s v="ORD-1025"/>
    <x v="13"/>
    <s v="CUST022"/>
    <s v="Shruti Agarwal"/>
    <x v="1"/>
    <x v="0"/>
    <s v="Telangana"/>
    <s v="Warangal"/>
    <x v="1"/>
    <s v="Decor"/>
    <s v="Wall Clock"/>
    <n v="2"/>
    <n v="1500"/>
    <n v="0.2"/>
    <n v="2400"/>
    <n v="271.91000000000003"/>
    <n v="249.77"/>
    <s v="First Class"/>
    <m/>
    <m/>
    <n v="2400"/>
    <n v="0.11329583333333335"/>
    <s v="Normal"/>
    <s v="High"/>
    <x v="1"/>
    <n v="2024"/>
  </r>
  <r>
    <s v="ORD-1026"/>
    <x v="14"/>
    <s v="CUST019"/>
    <s v="Manoj Das"/>
    <x v="1"/>
    <x v="2"/>
    <s v="Maharashtra"/>
    <s v="Pune"/>
    <x v="0"/>
    <s v="Mobiles"/>
    <s v="iPhone 14"/>
    <n v="3"/>
    <n v="75000"/>
    <n v="0.2"/>
    <n v="180000"/>
    <n v="34416.1"/>
    <n v="180.55"/>
    <s v="Same Day"/>
    <m/>
    <m/>
    <n v="180000"/>
    <n v="0.19120055555555554"/>
    <s v="High Value"/>
    <s v="High"/>
    <x v="1"/>
    <n v="2024"/>
  </r>
  <r>
    <s v="ORD-1027"/>
    <x v="15"/>
    <s v="CUST003"/>
    <s v="Rohit Kumar"/>
    <x v="1"/>
    <x v="3"/>
    <s v="West Bengal"/>
    <s v="Siliguri"/>
    <x v="1"/>
    <s v="Appliances"/>
    <s v="Electric Kettle"/>
    <n v="3"/>
    <n v="1800"/>
    <n v="0.2"/>
    <n v="4320"/>
    <n v="1061.9000000000001"/>
    <n v="65.56"/>
    <s v="First Class"/>
    <m/>
    <m/>
    <n v="4320"/>
    <n v="0.24581018518518521"/>
    <s v="Normal"/>
    <s v="High"/>
    <x v="1"/>
    <n v="2024"/>
  </r>
  <r>
    <s v="ORD-1028"/>
    <x v="16"/>
    <s v="CUST008"/>
    <s v="Anita Mehta"/>
    <x v="0"/>
    <x v="0"/>
    <s v="Telangana"/>
    <s v="Hyderabad"/>
    <x v="2"/>
    <s v="Kids"/>
    <s v="Kids Shoes"/>
    <n v="4"/>
    <n v="1000"/>
    <n v="0.1"/>
    <n v="3600"/>
    <n v="803.24"/>
    <n v="398.63"/>
    <s v="Second Class"/>
    <m/>
    <m/>
    <n v="3600"/>
    <n v="0.22312222222222222"/>
    <s v="Normal"/>
    <s v="Medium"/>
    <x v="1"/>
    <n v="2024"/>
  </r>
  <r>
    <s v="ORD-1029"/>
    <x v="17"/>
    <s v="CUST014"/>
    <s v="Divya Chauhan"/>
    <x v="1"/>
    <x v="0"/>
    <s v="Karnataka"/>
    <s v="Mangaluru"/>
    <x v="2"/>
    <s v="Men"/>
    <s v="Men Kurta"/>
    <n v="1"/>
    <n v="1500"/>
    <n v="0.05"/>
    <n v="1425"/>
    <n v="115.23"/>
    <n v="474.62"/>
    <s v="Second Class"/>
    <m/>
    <m/>
    <n v="1425"/>
    <n v="8.0863157894736845E-2"/>
    <s v="Normal"/>
    <s v="Low"/>
    <x v="1"/>
    <n v="2024"/>
  </r>
  <r>
    <s v="ORD-1030"/>
    <x v="18"/>
    <s v="CUST006"/>
    <s v="Kavya Nair"/>
    <x v="0"/>
    <x v="3"/>
    <s v="West Bengal"/>
    <s v="Asansol"/>
    <x v="0"/>
    <s v="Accessories"/>
    <s v="USB Hub"/>
    <n v="2"/>
    <n v="800"/>
    <n v="0"/>
    <n v="1600"/>
    <n v="426.45"/>
    <n v="66.02"/>
    <s v="Same Day"/>
    <m/>
    <m/>
    <n v="1600"/>
    <n v="0.26653125"/>
    <s v="Normal"/>
    <s v="No Discount"/>
    <x v="1"/>
    <n v="2024"/>
  </r>
  <r>
    <s v="ORD-1031"/>
    <x v="19"/>
    <s v="CUST003"/>
    <s v="Rohit Kumar"/>
    <x v="1"/>
    <x v="0"/>
    <s v="Tamil Nadu"/>
    <s v="Coimbatore"/>
    <x v="0"/>
    <s v="Laptops"/>
    <s v="Asus VivoBook"/>
    <n v="1"/>
    <n v="42000"/>
    <n v="0"/>
    <n v="42000"/>
    <n v="7576.48"/>
    <n v="154.68"/>
    <s v="Same Day"/>
    <m/>
    <m/>
    <n v="42000"/>
    <n v="0.18039238095238094"/>
    <s v="High Value"/>
    <s v="No Discount"/>
    <x v="1"/>
    <n v="2024"/>
  </r>
  <r>
    <s v="ORD-1032"/>
    <x v="20"/>
    <s v="CUST023"/>
    <s v="Ravi Shankar"/>
    <x v="1"/>
    <x v="2"/>
    <s v="Rajasthan"/>
    <s v="Jaipur"/>
    <x v="0"/>
    <s v="Mobiles"/>
    <s v="Redmi Note 12"/>
    <n v="2"/>
    <n v="18000"/>
    <n v="0"/>
    <n v="36000"/>
    <n v="8934.49"/>
    <n v="165.44"/>
    <s v="Standard Class"/>
    <m/>
    <m/>
    <n v="36000"/>
    <n v="0.24818027777777776"/>
    <s v="High Value"/>
    <s v="No Discount"/>
    <x v="1"/>
    <n v="2024"/>
  </r>
  <r>
    <s v="ORD-1033"/>
    <x v="21"/>
    <s v="CUST008"/>
    <s v="Anita Mehta"/>
    <x v="0"/>
    <x v="0"/>
    <s v="Telangana"/>
    <s v="Warangal"/>
    <x v="2"/>
    <s v="Kids"/>
    <s v="Kids Jacket"/>
    <n v="1"/>
    <n v="1800"/>
    <n v="0"/>
    <n v="1800"/>
    <n v="234.18"/>
    <n v="395.2"/>
    <s v="First Class"/>
    <m/>
    <m/>
    <n v="1800"/>
    <n v="0.13009999999999999"/>
    <s v="Normal"/>
    <s v="No Discount"/>
    <x v="1"/>
    <n v="2024"/>
  </r>
  <r>
    <s v="ORD-1034"/>
    <x v="22"/>
    <s v="CUST007"/>
    <s v="Deepak Gupta"/>
    <x v="1"/>
    <x v="1"/>
    <s v="Delhi"/>
    <s v="Dwarka"/>
    <x v="0"/>
    <s v="Laptops"/>
    <s v="HP Pavilion"/>
    <n v="1"/>
    <n v="50000"/>
    <n v="0.15"/>
    <n v="42500"/>
    <n v="5889.25"/>
    <n v="170.7"/>
    <s v="First Class"/>
    <m/>
    <m/>
    <n v="42500"/>
    <n v="0.13857058823529411"/>
    <s v="High Value"/>
    <s v="High"/>
    <x v="1"/>
    <n v="2024"/>
  </r>
  <r>
    <s v="ORD-1035"/>
    <x v="23"/>
    <s v="CUST019"/>
    <s v="Manoj Das"/>
    <x v="0"/>
    <x v="3"/>
    <s v="West Bengal"/>
    <s v="Siliguri"/>
    <x v="2"/>
    <s v="Men"/>
    <s v="Men Jeans"/>
    <n v="3"/>
    <n v="2500"/>
    <n v="0.05"/>
    <n v="7125"/>
    <n v="772.77"/>
    <n v="187.28"/>
    <s v="First Class"/>
    <m/>
    <m/>
    <n v="7125"/>
    <n v="0.10845894736842104"/>
    <s v="Normal"/>
    <s v="Low"/>
    <x v="1"/>
    <n v="2024"/>
  </r>
  <r>
    <s v="ORD-1036"/>
    <x v="20"/>
    <s v="CUST015"/>
    <s v="Nikhil Bose"/>
    <x v="1"/>
    <x v="1"/>
    <s v="Uttar Pradesh"/>
    <s v="Noida"/>
    <x v="0"/>
    <s v="Accessories"/>
    <s v="Wireless Earbuds"/>
    <n v="4"/>
    <n v="3500"/>
    <n v="0"/>
    <n v="14000"/>
    <n v="2124.7399999999998"/>
    <n v="193.09"/>
    <s v="Same Day"/>
    <m/>
    <m/>
    <n v="14000"/>
    <n v="0.15176714285714285"/>
    <s v="High Value"/>
    <s v="No Discount"/>
    <x v="1"/>
    <n v="2024"/>
  </r>
  <r>
    <s v="ORD-1037"/>
    <x v="21"/>
    <s v="CUST018"/>
    <s v="Riya Kapoor"/>
    <x v="1"/>
    <x v="1"/>
    <s v="Delhi"/>
    <s v="New Delhi"/>
    <x v="0"/>
    <s v="Mobiles"/>
    <s v="Samsung S23"/>
    <n v="3"/>
    <n v="55000"/>
    <n v="0.1"/>
    <n v="148500"/>
    <n v="19480.810000000001"/>
    <n v="473.64"/>
    <s v="Standard Class"/>
    <m/>
    <m/>
    <n v="148500"/>
    <n v="0.13118390572390573"/>
    <s v="High Value"/>
    <s v="Medium"/>
    <x v="1"/>
    <n v="2024"/>
  </r>
  <r>
    <s v="ORD-1038"/>
    <x v="15"/>
    <s v="CUST004"/>
    <s v="Sneha Verma"/>
    <x v="0"/>
    <x v="2"/>
    <s v="Maharashtra"/>
    <s v="Nagpur"/>
    <x v="1"/>
    <s v="Appliances"/>
    <s v="Toaster"/>
    <n v="4"/>
    <n v="2200"/>
    <n v="0.1"/>
    <n v="7920"/>
    <n v="2021.31"/>
    <n v="395.45"/>
    <s v="First Class"/>
    <m/>
    <m/>
    <n v="7920"/>
    <n v="0.25521590909090908"/>
    <s v="Normal"/>
    <s v="Medium"/>
    <x v="1"/>
    <n v="2024"/>
  </r>
  <r>
    <s v="ORD-1039"/>
    <x v="14"/>
    <s v="CUST023"/>
    <s v="Ravi Shankar"/>
    <x v="2"/>
    <x v="1"/>
    <s v="Uttar Pradesh"/>
    <s v="Noida"/>
    <x v="0"/>
    <s v="Mobiles"/>
    <s v="Samsung S23"/>
    <n v="3"/>
    <n v="55000"/>
    <n v="0"/>
    <n v="165000"/>
    <n v="33690.32"/>
    <n v="171.94"/>
    <s v="First Class"/>
    <m/>
    <m/>
    <n v="165000"/>
    <n v="0.20418375757575757"/>
    <s v="High Value"/>
    <s v="No Discount"/>
    <x v="1"/>
    <n v="2024"/>
  </r>
  <r>
    <s v="ORD-1040"/>
    <x v="16"/>
    <s v="CUST020"/>
    <s v="Geeta Mishra"/>
    <x v="1"/>
    <x v="0"/>
    <s v="Tamil Nadu"/>
    <s v="Madurai"/>
    <x v="2"/>
    <s v="Kids"/>
    <s v="Kids T-Shirt"/>
    <n v="5"/>
    <n v="600"/>
    <n v="0.15"/>
    <n v="2550"/>
    <n v="337.58"/>
    <n v="399.52"/>
    <s v="Standard Class"/>
    <m/>
    <m/>
    <n v="2550"/>
    <n v="0.1323843137254902"/>
    <s v="Normal"/>
    <s v="High"/>
    <x v="1"/>
    <n v="2024"/>
  </r>
  <r>
    <s v="ORD-1041"/>
    <x v="24"/>
    <s v="CUST001"/>
    <s v="Aarav Sharma"/>
    <x v="2"/>
    <x v="2"/>
    <s v="Rajasthan"/>
    <s v="Jodhpur"/>
    <x v="2"/>
    <s v="Women"/>
    <s v="Women Blazer"/>
    <n v="2"/>
    <n v="3200"/>
    <n v="0.1"/>
    <n v="5760"/>
    <n v="1259.9100000000001"/>
    <n v="465.17"/>
    <s v="Standard Class"/>
    <m/>
    <m/>
    <n v="5760"/>
    <n v="0.21873437500000001"/>
    <s v="Normal"/>
    <s v="Medium"/>
    <x v="1"/>
    <n v="2024"/>
  </r>
  <r>
    <s v="ORD-1042"/>
    <x v="25"/>
    <s v="CUST013"/>
    <s v="Sanjay Yadav"/>
    <x v="1"/>
    <x v="1"/>
    <s v="Punjab"/>
    <s v="Ludhiana"/>
    <x v="2"/>
    <s v="Kids"/>
    <s v="Kids Shoes"/>
    <n v="3"/>
    <n v="1000"/>
    <n v="0.1"/>
    <n v="2700"/>
    <n v="261.95999999999998"/>
    <n v="58.93"/>
    <s v="Standard Class"/>
    <m/>
    <m/>
    <n v="2700"/>
    <n v="9.7022222222222218E-2"/>
    <s v="Normal"/>
    <s v="Medium"/>
    <x v="1"/>
    <n v="2024"/>
  </r>
  <r>
    <s v="ORD-1043"/>
    <x v="26"/>
    <s v="CUST005"/>
    <s v="Amit Singh"/>
    <x v="2"/>
    <x v="0"/>
    <s v="Tamil Nadu"/>
    <s v="Madurai"/>
    <x v="1"/>
    <s v="Decor"/>
    <s v="Table Lamp"/>
    <n v="1"/>
    <n v="1800"/>
    <n v="0"/>
    <n v="1800"/>
    <n v="187.69"/>
    <n v="194.19"/>
    <s v="Second Class"/>
    <m/>
    <m/>
    <n v="1800"/>
    <n v="0.10427222222222222"/>
    <s v="Normal"/>
    <s v="No Discount"/>
    <x v="1"/>
    <n v="2024"/>
  </r>
  <r>
    <s v="ORD-1044"/>
    <x v="27"/>
    <s v="CUST021"/>
    <s v="Karan Oberoi"/>
    <x v="1"/>
    <x v="1"/>
    <s v="Uttar Pradesh"/>
    <s v="Agra"/>
    <x v="0"/>
    <s v="Mobiles"/>
    <s v="OnePlus 11"/>
    <n v="2"/>
    <n v="40000"/>
    <n v="0.15"/>
    <n v="68000"/>
    <n v="11089.05"/>
    <n v="189.39"/>
    <s v="Second Class"/>
    <m/>
    <m/>
    <n v="68000"/>
    <n v="0.16307426470588235"/>
    <s v="High Value"/>
    <s v="High"/>
    <x v="1"/>
    <n v="2024"/>
  </r>
  <r>
    <s v="ORD-1045"/>
    <x v="28"/>
    <s v="CUST014"/>
    <s v="Divya Chauhan"/>
    <x v="2"/>
    <x v="1"/>
    <s v="Delhi"/>
    <s v="Dwarka"/>
    <x v="1"/>
    <s v="Appliances"/>
    <s v="Electric Kettle"/>
    <n v="2"/>
    <n v="1800"/>
    <n v="0.2"/>
    <n v="2880"/>
    <n v="388.3"/>
    <n v="105.64"/>
    <s v="Standard Class"/>
    <m/>
    <m/>
    <n v="2880"/>
    <n v="0.1348263888888889"/>
    <s v="Normal"/>
    <s v="High"/>
    <x v="1"/>
    <n v="2024"/>
  </r>
  <r>
    <s v="ORD-1046"/>
    <x v="29"/>
    <s v="CUST013"/>
    <s v="Sanjay Yadav"/>
    <x v="1"/>
    <x v="3"/>
    <s v="Bihar"/>
    <s v="Gaya"/>
    <x v="0"/>
    <s v="Accessories"/>
    <s v="Power Bank"/>
    <n v="4"/>
    <n v="1200"/>
    <n v="0"/>
    <n v="4800"/>
    <n v="864.1"/>
    <n v="335.53"/>
    <s v="Same Day"/>
    <m/>
    <m/>
    <n v="4800"/>
    <n v="0.18002083333333332"/>
    <s v="Normal"/>
    <s v="No Discount"/>
    <x v="2"/>
    <n v="2024"/>
  </r>
  <r>
    <s v="ORD-1047"/>
    <x v="30"/>
    <s v="CUST005"/>
    <s v="Amit Singh"/>
    <x v="1"/>
    <x v="3"/>
    <s v="Bihar"/>
    <s v="Patna"/>
    <x v="1"/>
    <s v="Furniture"/>
    <s v="Bed Frame"/>
    <n v="3"/>
    <n v="18000"/>
    <n v="0.1"/>
    <n v="48600"/>
    <n v="8903.9699999999993"/>
    <n v="152.06"/>
    <s v="Same Day"/>
    <m/>
    <m/>
    <n v="48600"/>
    <n v="0.18320925925925924"/>
    <s v="High Value"/>
    <s v="Medium"/>
    <x v="2"/>
    <n v="2024"/>
  </r>
  <r>
    <s v="ORD-1048"/>
    <x v="31"/>
    <s v="CUST005"/>
    <s v="Amit Singh"/>
    <x v="0"/>
    <x v="1"/>
    <s v="Uttar Pradesh"/>
    <s v="Kanpur"/>
    <x v="1"/>
    <s v="Furniture"/>
    <s v="Office Chair"/>
    <n v="4"/>
    <n v="8500"/>
    <n v="0"/>
    <n v="34000"/>
    <n v="5615.16"/>
    <n v="98"/>
    <s v="Standard Class"/>
    <m/>
    <m/>
    <n v="34000"/>
    <n v="0.16515176470588236"/>
    <s v="High Value"/>
    <s v="No Discount"/>
    <x v="2"/>
    <n v="2024"/>
  </r>
  <r>
    <s v="ORD-1049"/>
    <x v="32"/>
    <s v="CUST003"/>
    <s v="Rohit Kumar"/>
    <x v="1"/>
    <x v="3"/>
    <s v="West Bengal"/>
    <s v="Kolkata"/>
    <x v="0"/>
    <s v="Accessories"/>
    <s v="Power Bank"/>
    <n v="3"/>
    <n v="1200"/>
    <n v="0"/>
    <n v="3600"/>
    <n v="882.87"/>
    <n v="354.47"/>
    <s v="Second Class"/>
    <m/>
    <m/>
    <n v="3600"/>
    <n v="0.24524166666666666"/>
    <s v="Normal"/>
    <s v="No Discount"/>
    <x v="2"/>
    <n v="2024"/>
  </r>
  <r>
    <s v="ORD-1050"/>
    <x v="33"/>
    <s v="CUST020"/>
    <s v="Geeta Mishra"/>
    <x v="1"/>
    <x v="3"/>
    <s v="West Bengal"/>
    <s v="Kolkata"/>
    <x v="2"/>
    <s v="Women"/>
    <s v="Women Saree"/>
    <n v="5"/>
    <n v="3500"/>
    <n v="0"/>
    <n v="17500"/>
    <n v="2950.52"/>
    <n v="484.85"/>
    <s v="Same Day"/>
    <m/>
    <m/>
    <n v="17500"/>
    <n v="0.16860114285714287"/>
    <s v="High Value"/>
    <s v="No Discount"/>
    <x v="2"/>
    <n v="2024"/>
  </r>
  <r>
    <s v="ORD-1051"/>
    <x v="34"/>
    <s v="CUST020"/>
    <s v="Geeta Mishra"/>
    <x v="2"/>
    <x v="0"/>
    <s v="Tamil Nadu"/>
    <s v="Chennai"/>
    <x v="0"/>
    <s v="Accessories"/>
    <s v="Power Bank"/>
    <n v="5"/>
    <n v="1200"/>
    <n v="0.15"/>
    <n v="5100"/>
    <n v="1340.21"/>
    <n v="432.87"/>
    <s v="Same Day"/>
    <m/>
    <m/>
    <n v="5100"/>
    <n v="0.26278627450980391"/>
    <s v="Normal"/>
    <s v="High"/>
    <x v="2"/>
    <n v="2024"/>
  </r>
  <r>
    <s v="ORD-1052"/>
    <x v="35"/>
    <s v="CUST016"/>
    <s v="Sunita Pandey"/>
    <x v="1"/>
    <x v="3"/>
    <s v="Bihar"/>
    <s v="Patna"/>
    <x v="1"/>
    <s v="Decor"/>
    <s v="Table Lamp"/>
    <n v="3"/>
    <n v="1800"/>
    <n v="0"/>
    <n v="5400"/>
    <n v="449.73"/>
    <n v="317.07"/>
    <s v="Second Class"/>
    <m/>
    <m/>
    <n v="5400"/>
    <n v="8.3283333333333334E-2"/>
    <s v="Normal"/>
    <s v="No Discount"/>
    <x v="2"/>
    <n v="2024"/>
  </r>
  <r>
    <s v="ORD-1053"/>
    <x v="36"/>
    <s v="CUST014"/>
    <s v="Divya Chauhan"/>
    <x v="1"/>
    <x v="1"/>
    <s v="Punjab"/>
    <s v="Ludhiana"/>
    <x v="1"/>
    <s v="Decor"/>
    <s v="Cushion Set"/>
    <n v="3"/>
    <n v="1200"/>
    <n v="0"/>
    <n v="3600"/>
    <n v="686.57"/>
    <n v="361.87"/>
    <s v="Standard Class"/>
    <m/>
    <m/>
    <n v="3600"/>
    <n v="0.19071388888888891"/>
    <s v="Normal"/>
    <s v="No Discount"/>
    <x v="2"/>
    <n v="2024"/>
  </r>
  <r>
    <s v="ORD-1054"/>
    <x v="37"/>
    <s v="CUST018"/>
    <s v="Riya Kapoor"/>
    <x v="2"/>
    <x v="1"/>
    <s v="Punjab"/>
    <s v="Ludhiana"/>
    <x v="2"/>
    <s v="Men"/>
    <s v="Men Jeans"/>
    <n v="1"/>
    <n v="2500"/>
    <n v="0"/>
    <n v="2500"/>
    <n v="514.37"/>
    <n v="263.68"/>
    <s v="Same Day"/>
    <m/>
    <m/>
    <n v="2500"/>
    <n v="0.20574800000000001"/>
    <s v="Normal"/>
    <s v="No Discount"/>
    <x v="2"/>
    <n v="2024"/>
  </r>
  <r>
    <s v="ORD-1055"/>
    <x v="38"/>
    <s v="CUST018"/>
    <s v="Riya Kapoor"/>
    <x v="0"/>
    <x v="2"/>
    <s v="Gujarat"/>
    <s v="Vadodara"/>
    <x v="1"/>
    <s v="Appliances"/>
    <s v="Electric Kettle"/>
    <n v="1"/>
    <n v="1800"/>
    <n v="0"/>
    <n v="1800"/>
    <n v="497.44"/>
    <n v="208.28"/>
    <s v="Standard Class"/>
    <m/>
    <m/>
    <n v="1800"/>
    <n v="0.27635555555555558"/>
    <s v="Normal"/>
    <s v="No Discount"/>
    <x v="2"/>
    <n v="2024"/>
  </r>
  <r>
    <s v="ORD-1056"/>
    <x v="39"/>
    <s v="CUST022"/>
    <s v="Shruti Agarwal"/>
    <x v="1"/>
    <x v="1"/>
    <s v="Uttar Pradesh"/>
    <s v="Kanpur"/>
    <x v="2"/>
    <s v="Kids"/>
    <s v="Kids Jeans"/>
    <n v="5"/>
    <n v="1200"/>
    <n v="0"/>
    <n v="6000"/>
    <n v="1205.3"/>
    <n v="489.51"/>
    <s v="First Class"/>
    <m/>
    <m/>
    <n v="6000"/>
    <n v="0.20088333333333333"/>
    <s v="Normal"/>
    <s v="No Discount"/>
    <x v="2"/>
    <n v="2024"/>
  </r>
  <r>
    <s v="ORD-1057"/>
    <x v="40"/>
    <s v="CUST005"/>
    <s v="Amit Singh"/>
    <x v="1"/>
    <x v="0"/>
    <s v="Tamil Nadu"/>
    <s v="Madurai"/>
    <x v="1"/>
    <s v="Furniture"/>
    <s v="Bed Frame"/>
    <n v="5"/>
    <n v="18000"/>
    <n v="0.1"/>
    <n v="81000"/>
    <n v="10728.58"/>
    <n v="161.13"/>
    <s v="Second Class"/>
    <m/>
    <m/>
    <n v="81000"/>
    <n v="0.1324516049382716"/>
    <s v="High Value"/>
    <s v="Medium"/>
    <x v="2"/>
    <n v="2024"/>
  </r>
  <r>
    <s v="ORD-1058"/>
    <x v="39"/>
    <s v="CUST010"/>
    <s v="Pooja Reddy"/>
    <x v="2"/>
    <x v="2"/>
    <s v="Maharashtra"/>
    <s v="Pune"/>
    <x v="0"/>
    <s v="Laptops"/>
    <s v="HP Pavilion"/>
    <n v="4"/>
    <n v="50000"/>
    <n v="0.15"/>
    <n v="170000"/>
    <n v="15854.03"/>
    <n v="445.87"/>
    <s v="Second Class"/>
    <m/>
    <m/>
    <n v="170000"/>
    <n v="9.3259000000000009E-2"/>
    <s v="High Value"/>
    <s v="High"/>
    <x v="2"/>
    <n v="2024"/>
  </r>
  <r>
    <s v="ORD-1059"/>
    <x v="41"/>
    <s v="CUST017"/>
    <s v="Arjun Malhotra"/>
    <x v="1"/>
    <x v="0"/>
    <s v="Tamil Nadu"/>
    <s v="Chennai"/>
    <x v="2"/>
    <s v="Kids"/>
    <s v="Kids Jeans"/>
    <n v="3"/>
    <n v="1200"/>
    <n v="0.2"/>
    <n v="2880"/>
    <n v="656.84"/>
    <n v="489.72"/>
    <s v="Standard Class"/>
    <m/>
    <m/>
    <n v="2880"/>
    <n v="0.22806944444444446"/>
    <s v="Normal"/>
    <s v="High"/>
    <x v="2"/>
    <n v="2024"/>
  </r>
  <r>
    <s v="ORD-1060"/>
    <x v="42"/>
    <s v="CUST007"/>
    <s v="Deepak Gupta"/>
    <x v="0"/>
    <x v="1"/>
    <s v="Uttar Pradesh"/>
    <s v="Noida"/>
    <x v="1"/>
    <s v="Decor"/>
    <s v="Curtains"/>
    <n v="4"/>
    <n v="2500"/>
    <n v="0.15"/>
    <n v="8500"/>
    <n v="1901"/>
    <n v="147.47999999999999"/>
    <s v="Standard Class"/>
    <m/>
    <m/>
    <n v="8500"/>
    <n v="0.22364705882352942"/>
    <s v="Normal"/>
    <s v="High"/>
    <x v="2"/>
    <n v="2024"/>
  </r>
  <r>
    <s v="ORD-1061"/>
    <x v="43"/>
    <s v="CUST008"/>
    <s v="Anita Mehta"/>
    <x v="1"/>
    <x v="2"/>
    <s v="Maharashtra"/>
    <s v="Mumbai"/>
    <x v="1"/>
    <s v="Appliances"/>
    <s v="Electric Kettle"/>
    <n v="5"/>
    <n v="1800"/>
    <n v="0"/>
    <n v="9000"/>
    <n v="2106.34"/>
    <n v="375.04"/>
    <s v="Standard Class"/>
    <m/>
    <m/>
    <n v="9000"/>
    <n v="0.23403777777777779"/>
    <s v="Normal"/>
    <s v="No Discount"/>
    <x v="2"/>
    <n v="2024"/>
  </r>
  <r>
    <s v="ORD-1062"/>
    <x v="30"/>
    <s v="CUST002"/>
    <s v="Priya Patel"/>
    <x v="0"/>
    <x v="1"/>
    <s v="Punjab"/>
    <s v="Amritsar"/>
    <x v="1"/>
    <s v="Appliances"/>
    <s v="Electric Kettle"/>
    <n v="4"/>
    <n v="1800"/>
    <n v="0.2"/>
    <n v="5760"/>
    <n v="617.67999999999995"/>
    <n v="308.25"/>
    <s v="Second Class"/>
    <m/>
    <m/>
    <n v="5760"/>
    <n v="0.1072361111111111"/>
    <s v="Normal"/>
    <s v="High"/>
    <x v="2"/>
    <n v="2024"/>
  </r>
  <r>
    <s v="ORD-1063"/>
    <x v="35"/>
    <s v="CUST002"/>
    <s v="Priya Patel"/>
    <x v="2"/>
    <x v="3"/>
    <s v="Bihar"/>
    <s v="Patna"/>
    <x v="1"/>
    <s v="Appliances"/>
    <s v="Electric Kettle"/>
    <n v="2"/>
    <n v="1800"/>
    <n v="0.1"/>
    <n v="3240"/>
    <n v="423.83"/>
    <n v="428.38"/>
    <s v="Same Day"/>
    <m/>
    <m/>
    <n v="3240"/>
    <n v="0.13081172839506172"/>
    <s v="Normal"/>
    <s v="Medium"/>
    <x v="2"/>
    <n v="2024"/>
  </r>
  <r>
    <s v="ORD-1064"/>
    <x v="35"/>
    <s v="CUST014"/>
    <s v="Divya Chauhan"/>
    <x v="0"/>
    <x v="3"/>
    <s v="Bihar"/>
    <s v="Gaya"/>
    <x v="2"/>
    <s v="Men"/>
    <s v="Men Kurta"/>
    <n v="2"/>
    <n v="1500"/>
    <n v="0.2"/>
    <n v="2400"/>
    <n v="660.24"/>
    <n v="366.06"/>
    <s v="Second Class"/>
    <m/>
    <m/>
    <n v="2400"/>
    <n v="0.27510000000000001"/>
    <s v="Normal"/>
    <s v="High"/>
    <x v="2"/>
    <n v="2024"/>
  </r>
  <r>
    <s v="ORD-1065"/>
    <x v="44"/>
    <s v="CUST022"/>
    <s v="Shruti Agarwal"/>
    <x v="0"/>
    <x v="1"/>
    <s v="Delhi"/>
    <s v="Rohini"/>
    <x v="0"/>
    <s v="Laptops"/>
    <s v="Lenovo IdeaPad"/>
    <n v="3"/>
    <n v="45000"/>
    <n v="0.05"/>
    <n v="128250"/>
    <n v="19454.830000000002"/>
    <n v="122.61"/>
    <s v="First Class"/>
    <m/>
    <m/>
    <n v="128250"/>
    <n v="0.15169458089668617"/>
    <s v="High Value"/>
    <s v="Low"/>
    <x v="2"/>
    <n v="2024"/>
  </r>
  <r>
    <s v="ORD-1066"/>
    <x v="45"/>
    <s v="CUST006"/>
    <s v="Kavya Nair"/>
    <x v="1"/>
    <x v="0"/>
    <s v="Telangana"/>
    <s v="Warangal"/>
    <x v="2"/>
    <s v="Women"/>
    <s v="Women Shoes"/>
    <n v="3"/>
    <n v="2400"/>
    <n v="0.15"/>
    <n v="6120"/>
    <n v="1262.69"/>
    <n v="197.48"/>
    <s v="Second Class"/>
    <m/>
    <m/>
    <n v="6120"/>
    <n v="0.20632189542483662"/>
    <s v="Normal"/>
    <s v="High"/>
    <x v="2"/>
    <n v="2024"/>
  </r>
  <r>
    <s v="ORD-1067"/>
    <x v="35"/>
    <s v="CUST020"/>
    <s v="Geeta Mishra"/>
    <x v="1"/>
    <x v="2"/>
    <s v="Rajasthan"/>
    <s v="Jaipur"/>
    <x v="2"/>
    <s v="Men"/>
    <s v="Men Kurta"/>
    <n v="1"/>
    <n v="1500"/>
    <n v="0.2"/>
    <n v="1200"/>
    <n v="261.02999999999997"/>
    <n v="493.42"/>
    <s v="Same Day"/>
    <m/>
    <m/>
    <n v="1200"/>
    <n v="0.21752499999999997"/>
    <s v="Normal"/>
    <s v="High"/>
    <x v="2"/>
    <n v="2024"/>
  </r>
  <r>
    <s v="ORD-1068"/>
    <x v="46"/>
    <s v="CUST011"/>
    <s v="Rahul Tiwari"/>
    <x v="1"/>
    <x v="1"/>
    <s v="Delhi"/>
    <s v="New Delhi"/>
    <x v="1"/>
    <s v="Furniture"/>
    <s v="Sofa"/>
    <n v="2"/>
    <n v="25000"/>
    <n v="0"/>
    <n v="50000"/>
    <n v="11122.31"/>
    <n v="481.7"/>
    <s v="Second Class"/>
    <m/>
    <m/>
    <n v="50000"/>
    <n v="0.22244619999999998"/>
    <s v="High Value"/>
    <s v="No Discount"/>
    <x v="3"/>
    <n v="2024"/>
  </r>
  <r>
    <s v="ORD-1069"/>
    <x v="46"/>
    <s v="CUST003"/>
    <s v="Rohit Kumar"/>
    <x v="1"/>
    <x v="1"/>
    <s v="Punjab"/>
    <s v="Amritsar"/>
    <x v="0"/>
    <s v="Accessories"/>
    <s v="USB Hub"/>
    <n v="4"/>
    <n v="800"/>
    <n v="0"/>
    <n v="3200"/>
    <n v="722.61"/>
    <n v="167.82"/>
    <s v="First Class"/>
    <m/>
    <m/>
    <n v="3200"/>
    <n v="0.22581562499999999"/>
    <s v="Normal"/>
    <s v="No Discount"/>
    <x v="3"/>
    <n v="2024"/>
  </r>
  <r>
    <s v="ORD-1070"/>
    <x v="47"/>
    <s v="CUST001"/>
    <s v="Aarav Sharma"/>
    <x v="1"/>
    <x v="2"/>
    <s v="Rajasthan"/>
    <s v="Jodhpur"/>
    <x v="2"/>
    <s v="Women"/>
    <s v="Women Kurti"/>
    <n v="5"/>
    <n v="900"/>
    <n v="0"/>
    <n v="4500"/>
    <n v="793.09"/>
    <n v="218.47"/>
    <s v="Second Class"/>
    <m/>
    <m/>
    <n v="4500"/>
    <n v="0.17624222222222222"/>
    <s v="Normal"/>
    <s v="No Discount"/>
    <x v="3"/>
    <n v="2024"/>
  </r>
  <r>
    <s v="ORD-1071"/>
    <x v="48"/>
    <s v="CUST015"/>
    <s v="Nikhil Bose"/>
    <x v="2"/>
    <x v="0"/>
    <s v="Tamil Nadu"/>
    <s v="Madurai"/>
    <x v="1"/>
    <s v="Appliances"/>
    <s v="Induction Cooktop"/>
    <n v="5"/>
    <n v="4000"/>
    <n v="0"/>
    <n v="20000"/>
    <n v="3743.01"/>
    <n v="326.58999999999997"/>
    <s v="Standard Class"/>
    <m/>
    <m/>
    <n v="20000"/>
    <n v="0.1871505"/>
    <s v="High Value"/>
    <s v="No Discount"/>
    <x v="3"/>
    <n v="2024"/>
  </r>
  <r>
    <s v="ORD-1072"/>
    <x v="48"/>
    <s v="CUST002"/>
    <s v="Priya Patel"/>
    <x v="0"/>
    <x v="2"/>
    <s v="Maharashtra"/>
    <s v="Mumbai"/>
    <x v="2"/>
    <s v="Women"/>
    <s v="Women Dress"/>
    <n v="4"/>
    <n v="2200"/>
    <n v="0.05"/>
    <n v="8360"/>
    <n v="2154.6999999999998"/>
    <n v="191.47"/>
    <s v="Standard Class"/>
    <m/>
    <m/>
    <n v="8360"/>
    <n v="0.25773923444976077"/>
    <s v="Normal"/>
    <s v="Low"/>
    <x v="3"/>
    <n v="2024"/>
  </r>
  <r>
    <s v="ORD-1073"/>
    <x v="49"/>
    <s v="CUST007"/>
    <s v="Deepak Gupta"/>
    <x v="1"/>
    <x v="1"/>
    <s v="Punjab"/>
    <s v="Ludhiana"/>
    <x v="1"/>
    <s v="Furniture"/>
    <s v="Office Chair"/>
    <n v="2"/>
    <n v="8500"/>
    <n v="0.1"/>
    <n v="15300"/>
    <n v="3502.88"/>
    <n v="110.23"/>
    <s v="Second Class"/>
    <m/>
    <m/>
    <n v="15300"/>
    <n v="0.22894640522875817"/>
    <s v="High Value"/>
    <s v="Medium"/>
    <x v="3"/>
    <n v="2024"/>
  </r>
  <r>
    <s v="ORD-1074"/>
    <x v="50"/>
    <s v="CUST025"/>
    <s v="Aditya Bhatt"/>
    <x v="2"/>
    <x v="1"/>
    <s v="Uttar Pradesh"/>
    <s v="Lucknow"/>
    <x v="0"/>
    <s v="Mobiles"/>
    <s v="iPhone 14"/>
    <n v="2"/>
    <n v="75000"/>
    <n v="0"/>
    <n v="150000"/>
    <n v="40185.31"/>
    <n v="497.39"/>
    <s v="Second Class"/>
    <m/>
    <m/>
    <n v="150000"/>
    <n v="0.26790206666666666"/>
    <s v="High Value"/>
    <s v="No Discount"/>
    <x v="3"/>
    <n v="2024"/>
  </r>
  <r>
    <s v="ORD-1075"/>
    <x v="47"/>
    <s v="CUST025"/>
    <s v="Aditya Bhatt"/>
    <x v="1"/>
    <x v="0"/>
    <s v="Tamil Nadu"/>
    <s v="Coimbatore"/>
    <x v="2"/>
    <s v="Women"/>
    <s v="Women Saree"/>
    <n v="3"/>
    <n v="3500"/>
    <n v="0"/>
    <n v="10500"/>
    <n v="1352.16"/>
    <n v="57.83"/>
    <s v="Same Day"/>
    <m/>
    <m/>
    <n v="10500"/>
    <n v="0.12877714285714287"/>
    <s v="High Value"/>
    <s v="No Discount"/>
    <x v="3"/>
    <n v="2024"/>
  </r>
  <r>
    <s v="ORD-1076"/>
    <x v="51"/>
    <s v="CUST006"/>
    <s v="Kavya Nair"/>
    <x v="0"/>
    <x v="1"/>
    <s v="Delhi"/>
    <s v="Dwarka"/>
    <x v="2"/>
    <s v="Women"/>
    <s v="Women Saree"/>
    <n v="2"/>
    <n v="3500"/>
    <n v="0.15"/>
    <n v="5950"/>
    <n v="1281.03"/>
    <n v="200.43"/>
    <s v="First Class"/>
    <m/>
    <m/>
    <n v="5950"/>
    <n v="0.21529915966386554"/>
    <s v="Normal"/>
    <s v="High"/>
    <x v="3"/>
    <n v="2024"/>
  </r>
  <r>
    <s v="ORD-1077"/>
    <x v="52"/>
    <s v="CUST021"/>
    <s v="Karan Oberoi"/>
    <x v="2"/>
    <x v="2"/>
    <s v="Maharashtra"/>
    <s v="Pune"/>
    <x v="0"/>
    <s v="Laptops"/>
    <s v="Asus VivoBook"/>
    <n v="5"/>
    <n v="42000"/>
    <n v="0"/>
    <n v="210000"/>
    <n v="30742.85"/>
    <n v="491.42"/>
    <s v="Standard Class"/>
    <m/>
    <m/>
    <n v="210000"/>
    <n v="0.14639452380952381"/>
    <s v="High Value"/>
    <s v="No Discount"/>
    <x v="3"/>
    <n v="2024"/>
  </r>
  <r>
    <s v="ORD-1078"/>
    <x v="53"/>
    <s v="CUST023"/>
    <s v="Ravi Shankar"/>
    <x v="2"/>
    <x v="1"/>
    <s v="Delhi"/>
    <s v="Dwarka"/>
    <x v="2"/>
    <s v="Women"/>
    <s v="Women Blazer"/>
    <n v="3"/>
    <n v="3200"/>
    <n v="0.15"/>
    <n v="8160"/>
    <n v="1092.76"/>
    <n v="193.96"/>
    <s v="First Class"/>
    <m/>
    <m/>
    <n v="8160"/>
    <n v="0.13391666666666666"/>
    <s v="Normal"/>
    <s v="High"/>
    <x v="3"/>
    <n v="2024"/>
  </r>
  <r>
    <s v="ORD-1079"/>
    <x v="54"/>
    <s v="CUST006"/>
    <s v="Kavya Nair"/>
    <x v="0"/>
    <x v="0"/>
    <s v="Telangana"/>
    <s v="Warangal"/>
    <x v="1"/>
    <s v="Furniture"/>
    <s v="Office Chair"/>
    <n v="4"/>
    <n v="8500"/>
    <n v="0"/>
    <n v="34000"/>
    <n v="8085.25"/>
    <n v="356.38"/>
    <s v="Standard Class"/>
    <m/>
    <m/>
    <n v="34000"/>
    <n v="0.23780147058823528"/>
    <s v="High Value"/>
    <s v="No Discount"/>
    <x v="3"/>
    <n v="2024"/>
  </r>
  <r>
    <s v="ORD-1080"/>
    <x v="55"/>
    <s v="CUST013"/>
    <s v="Sanjay Yadav"/>
    <x v="2"/>
    <x v="0"/>
    <s v="Karnataka"/>
    <s v="Bengaluru"/>
    <x v="0"/>
    <s v="Accessories"/>
    <s v="Power Bank"/>
    <n v="5"/>
    <n v="1200"/>
    <n v="0.05"/>
    <n v="5700"/>
    <n v="647.39"/>
    <n v="342.98"/>
    <s v="First Class"/>
    <m/>
    <m/>
    <n v="5700"/>
    <n v="0.11357719298245614"/>
    <s v="Normal"/>
    <s v="Low"/>
    <x v="3"/>
    <n v="2024"/>
  </r>
  <r>
    <s v="ORD-1081"/>
    <x v="46"/>
    <s v="CUST007"/>
    <s v="Deepak Gupta"/>
    <x v="2"/>
    <x v="3"/>
    <s v="Odisha"/>
    <s v="Bhubaneswar"/>
    <x v="0"/>
    <s v="Accessories"/>
    <s v="Bluetooth Speaker"/>
    <n v="1"/>
    <n v="4500"/>
    <n v="0.15"/>
    <n v="3825"/>
    <n v="353.28"/>
    <n v="64.819999999999993"/>
    <s v="First Class"/>
    <m/>
    <m/>
    <n v="3825"/>
    <n v="9.2360784313725477E-2"/>
    <s v="Normal"/>
    <s v="High"/>
    <x v="3"/>
    <n v="2024"/>
  </r>
  <r>
    <s v="ORD-1082"/>
    <x v="48"/>
    <s v="CUST005"/>
    <s v="Amit Singh"/>
    <x v="1"/>
    <x v="0"/>
    <s v="Tamil Nadu"/>
    <s v="Madurai"/>
    <x v="2"/>
    <s v="Kids"/>
    <s v="School Bag"/>
    <n v="2"/>
    <n v="1500"/>
    <n v="0"/>
    <n v="3000"/>
    <n v="795.47"/>
    <n v="78.08"/>
    <s v="First Class"/>
    <m/>
    <m/>
    <n v="3000"/>
    <n v="0.26515666666666665"/>
    <s v="Normal"/>
    <s v="No Discount"/>
    <x v="3"/>
    <n v="2024"/>
  </r>
  <r>
    <s v="ORD-1083"/>
    <x v="53"/>
    <s v="CUST004"/>
    <s v="Sneha Verma"/>
    <x v="0"/>
    <x v="1"/>
    <s v="Punjab"/>
    <s v="Amritsar"/>
    <x v="0"/>
    <s v="Accessories"/>
    <s v="Bluetooth Speaker"/>
    <n v="2"/>
    <n v="4500"/>
    <n v="0"/>
    <n v="9000"/>
    <n v="1601.32"/>
    <n v="211.93"/>
    <s v="Second Class"/>
    <m/>
    <m/>
    <n v="9000"/>
    <n v="0.17792444444444444"/>
    <s v="Normal"/>
    <s v="No Discount"/>
    <x v="3"/>
    <n v="2024"/>
  </r>
  <r>
    <s v="ORD-1084"/>
    <x v="56"/>
    <s v="CUST014"/>
    <s v="Divya Chauhan"/>
    <x v="0"/>
    <x v="2"/>
    <s v="Gujarat"/>
    <s v="Surat"/>
    <x v="0"/>
    <s v="Laptops"/>
    <s v="HP Pavilion"/>
    <n v="3"/>
    <n v="50000"/>
    <n v="0.1"/>
    <n v="135000"/>
    <n v="11810.37"/>
    <n v="148.38999999999999"/>
    <s v="First Class"/>
    <m/>
    <m/>
    <n v="135000"/>
    <n v="8.7484222222222227E-2"/>
    <s v="High Value"/>
    <s v="Medium"/>
    <x v="3"/>
    <n v="2024"/>
  </r>
  <r>
    <s v="ORD-1085"/>
    <x v="57"/>
    <s v="CUST024"/>
    <s v="Nisha Tiwari"/>
    <x v="1"/>
    <x v="1"/>
    <s v="Punjab"/>
    <s v="Chandigarh"/>
    <x v="1"/>
    <s v="Furniture"/>
    <s v="Study Table"/>
    <n v="1"/>
    <n v="6000"/>
    <n v="0"/>
    <n v="6000"/>
    <n v="806.46"/>
    <n v="431.78"/>
    <s v="Standard Class"/>
    <m/>
    <m/>
    <n v="6000"/>
    <n v="0.13441"/>
    <s v="Normal"/>
    <s v="No Discount"/>
    <x v="3"/>
    <n v="2024"/>
  </r>
  <r>
    <s v="ORD-1086"/>
    <x v="58"/>
    <s v="CUST003"/>
    <s v="Rohit Kumar"/>
    <x v="1"/>
    <x v="1"/>
    <s v="Delhi"/>
    <s v="New Delhi"/>
    <x v="0"/>
    <s v="Mobiles"/>
    <s v="iPhone 14"/>
    <n v="1"/>
    <n v="75000"/>
    <n v="0"/>
    <n v="75000"/>
    <n v="16848.88"/>
    <n v="464.24"/>
    <s v="First Class"/>
    <m/>
    <m/>
    <n v="75000"/>
    <n v="0.22465173333333335"/>
    <s v="High Value"/>
    <s v="No Discount"/>
    <x v="3"/>
    <n v="2024"/>
  </r>
  <r>
    <s v="ORD-1087"/>
    <x v="50"/>
    <s v="CUST012"/>
    <s v="Meera Iyer"/>
    <x v="1"/>
    <x v="2"/>
    <s v="Gujarat"/>
    <s v="Vadodara"/>
    <x v="0"/>
    <s v="Laptops"/>
    <s v="HP Pavilion"/>
    <n v="4"/>
    <n v="50000"/>
    <n v="0"/>
    <n v="200000"/>
    <n v="36503.1"/>
    <n v="194.29"/>
    <s v="Standard Class"/>
    <m/>
    <m/>
    <n v="200000"/>
    <n v="0.1825155"/>
    <s v="High Value"/>
    <s v="No Discount"/>
    <x v="3"/>
    <n v="2024"/>
  </r>
  <r>
    <s v="ORD-1088"/>
    <x v="55"/>
    <s v="CUST006"/>
    <s v="Kavya Nair"/>
    <x v="0"/>
    <x v="3"/>
    <s v="Bihar"/>
    <s v="Gaya"/>
    <x v="1"/>
    <s v="Furniture"/>
    <s v="Study Table"/>
    <n v="2"/>
    <n v="6000"/>
    <n v="0"/>
    <n v="12000"/>
    <n v="2196.54"/>
    <n v="192.28"/>
    <s v="Second Class"/>
    <m/>
    <m/>
    <n v="12000"/>
    <n v="0.18304499999999999"/>
    <s v="High Value"/>
    <s v="No Discount"/>
    <x v="3"/>
    <n v="2024"/>
  </r>
  <r>
    <s v="ORD-1089"/>
    <x v="59"/>
    <s v="CUST015"/>
    <s v="Nikhil Bose"/>
    <x v="1"/>
    <x v="3"/>
    <s v="Bihar"/>
    <s v="Gaya"/>
    <x v="1"/>
    <s v="Furniture"/>
    <s v="Office Chair"/>
    <n v="1"/>
    <n v="8500"/>
    <n v="0"/>
    <n v="8500"/>
    <n v="1496.82"/>
    <n v="103.63"/>
    <s v="Second Class"/>
    <m/>
    <m/>
    <n v="8500"/>
    <n v="0.1760964705882353"/>
    <s v="Normal"/>
    <s v="No Discount"/>
    <x v="3"/>
    <n v="2024"/>
  </r>
  <r>
    <s v="ORD-1090"/>
    <x v="56"/>
    <s v="CUST005"/>
    <s v="Amit Singh"/>
    <x v="1"/>
    <x v="2"/>
    <s v="Maharashtra"/>
    <s v="Nagpur"/>
    <x v="2"/>
    <s v="Men"/>
    <s v="Men Jeans"/>
    <n v="2"/>
    <n v="2500"/>
    <n v="0.2"/>
    <n v="4000"/>
    <n v="734.04"/>
    <n v="468.1"/>
    <s v="Standard Class"/>
    <m/>
    <m/>
    <n v="4000"/>
    <n v="0.18350999999999998"/>
    <s v="Normal"/>
    <s v="High"/>
    <x v="3"/>
    <n v="2024"/>
  </r>
  <r>
    <s v="ORD-1091"/>
    <x v="60"/>
    <s v="CUST020"/>
    <s v="Geeta Mishra"/>
    <x v="2"/>
    <x v="2"/>
    <s v="Rajasthan"/>
    <s v="Jodhpur"/>
    <x v="1"/>
    <s v="Decor"/>
    <s v="Cushion Set"/>
    <n v="5"/>
    <n v="1200"/>
    <n v="0.05"/>
    <n v="5700"/>
    <n v="604.1"/>
    <n v="396.73"/>
    <s v="Same Day"/>
    <m/>
    <m/>
    <n v="5700"/>
    <n v="0.10598245614035089"/>
    <s v="Normal"/>
    <s v="Low"/>
    <x v="3"/>
    <n v="2024"/>
  </r>
  <r>
    <s v="ORD-1092"/>
    <x v="61"/>
    <s v="CUST012"/>
    <s v="Meera Iyer"/>
    <x v="2"/>
    <x v="0"/>
    <s v="Telangana"/>
    <s v="Hyderabad"/>
    <x v="0"/>
    <s v="Mobiles"/>
    <s v="iPhone 14"/>
    <n v="2"/>
    <n v="75000"/>
    <n v="0.1"/>
    <n v="135000"/>
    <n v="17158.61"/>
    <n v="443.6"/>
    <s v="Second Class"/>
    <m/>
    <m/>
    <n v="135000"/>
    <n v="0.12710081481481481"/>
    <s v="High Value"/>
    <s v="Medium"/>
    <x v="3"/>
    <n v="2024"/>
  </r>
  <r>
    <s v="ORD-1093"/>
    <x v="47"/>
    <s v="CUST019"/>
    <s v="Manoj Das"/>
    <x v="2"/>
    <x v="3"/>
    <s v="West Bengal"/>
    <s v="Asansol"/>
    <x v="2"/>
    <s v="Men"/>
    <s v="Men Jacket"/>
    <n v="5"/>
    <n v="3500"/>
    <n v="0"/>
    <n v="17500"/>
    <n v="1652.5"/>
    <n v="139"/>
    <s v="First Class"/>
    <m/>
    <m/>
    <n v="17500"/>
    <n v="9.4428571428571431E-2"/>
    <s v="High Value"/>
    <s v="No Discount"/>
    <x v="3"/>
    <n v="2024"/>
  </r>
  <r>
    <s v="ORD-1094"/>
    <x v="62"/>
    <s v="CUST005"/>
    <s v="Amit Singh"/>
    <x v="0"/>
    <x v="2"/>
    <s v="Gujarat"/>
    <s v="Vadodara"/>
    <x v="2"/>
    <s v="Men"/>
    <s v="Men Jacket"/>
    <n v="3"/>
    <n v="3500"/>
    <n v="0.15"/>
    <n v="8925"/>
    <n v="1146.92"/>
    <n v="350.63"/>
    <s v="First Class"/>
    <m/>
    <m/>
    <n v="8925"/>
    <n v="0.12850644257703081"/>
    <s v="Normal"/>
    <s v="High"/>
    <x v="4"/>
    <n v="2024"/>
  </r>
  <r>
    <s v="ORD-1095"/>
    <x v="63"/>
    <s v="CUST020"/>
    <s v="Geeta Mishra"/>
    <x v="0"/>
    <x v="1"/>
    <s v="Punjab"/>
    <s v="Ludhiana"/>
    <x v="1"/>
    <s v="Decor"/>
    <s v="Photo Frame"/>
    <n v="4"/>
    <n v="600"/>
    <n v="0"/>
    <n v="2400"/>
    <n v="503.05"/>
    <n v="256.70999999999998"/>
    <s v="Second Class"/>
    <m/>
    <m/>
    <n v="2400"/>
    <n v="0.20960416666666667"/>
    <s v="Normal"/>
    <s v="No Discount"/>
    <x v="4"/>
    <n v="2024"/>
  </r>
  <r>
    <s v="ORD-1096"/>
    <x v="64"/>
    <s v="CUST020"/>
    <s v="Geeta Mishra"/>
    <x v="2"/>
    <x v="1"/>
    <s v="Punjab"/>
    <s v="Ludhiana"/>
    <x v="2"/>
    <s v="Men"/>
    <s v="Men Jacket"/>
    <n v="1"/>
    <n v="3500"/>
    <n v="0.2"/>
    <n v="2800"/>
    <n v="748.52"/>
    <n v="389"/>
    <s v="First Class"/>
    <m/>
    <m/>
    <n v="2800"/>
    <n v="0.26732857142857142"/>
    <s v="Normal"/>
    <s v="High"/>
    <x v="4"/>
    <n v="2024"/>
  </r>
  <r>
    <s v="ORD-1097"/>
    <x v="65"/>
    <s v="CUST003"/>
    <s v="Rohit Kumar"/>
    <x v="1"/>
    <x v="2"/>
    <s v="Rajasthan"/>
    <s v="Jaipur"/>
    <x v="1"/>
    <s v="Appliances"/>
    <s v="Air Fryer"/>
    <n v="2"/>
    <n v="5500"/>
    <n v="0.2"/>
    <n v="8800"/>
    <n v="746.71"/>
    <n v="280.31"/>
    <s v="Same Day"/>
    <m/>
    <m/>
    <n v="8800"/>
    <n v="8.485340909090909E-2"/>
    <s v="Normal"/>
    <s v="High"/>
    <x v="4"/>
    <n v="2024"/>
  </r>
  <r>
    <s v="ORD-1098"/>
    <x v="66"/>
    <s v="CUST020"/>
    <s v="Geeta Mishra"/>
    <x v="2"/>
    <x v="3"/>
    <s v="Bihar"/>
    <s v="Gaya"/>
    <x v="1"/>
    <s v="Decor"/>
    <s v="Curtains"/>
    <n v="1"/>
    <n v="2500"/>
    <n v="0.1"/>
    <n v="2250"/>
    <n v="217.73"/>
    <n v="310.26"/>
    <s v="First Class"/>
    <m/>
    <m/>
    <n v="2250"/>
    <n v="9.676888888888889E-2"/>
    <s v="Normal"/>
    <s v="Medium"/>
    <x v="4"/>
    <n v="2024"/>
  </r>
  <r>
    <s v="ORD-1099"/>
    <x v="63"/>
    <s v="CUST012"/>
    <s v="Meera Iyer"/>
    <x v="2"/>
    <x v="1"/>
    <s v="Punjab"/>
    <s v="Chandigarh"/>
    <x v="0"/>
    <s v="Accessories"/>
    <s v="Wireless Earbuds"/>
    <n v="2"/>
    <n v="3500"/>
    <n v="0.15"/>
    <n v="5950"/>
    <n v="766.4"/>
    <n v="178"/>
    <s v="Second Class"/>
    <m/>
    <m/>
    <n v="5950"/>
    <n v="0.12880672268907561"/>
    <s v="Normal"/>
    <s v="High"/>
    <x v="4"/>
    <n v="2024"/>
  </r>
  <r>
    <s v="ORD-1100"/>
    <x v="67"/>
    <s v="CUST008"/>
    <s v="Anita Mehta"/>
    <x v="0"/>
    <x v="2"/>
    <s v="Maharashtra"/>
    <s v="Pune"/>
    <x v="0"/>
    <s v="Laptops"/>
    <s v="MacBook Air"/>
    <n v="3"/>
    <n v="115000"/>
    <n v="0.2"/>
    <n v="276000"/>
    <n v="61846.1"/>
    <n v="129.41"/>
    <s v="Standard Class"/>
    <m/>
    <m/>
    <n v="276000"/>
    <n v="0.2240800724637681"/>
    <s v="High Value"/>
    <s v="High"/>
    <x v="4"/>
    <n v="2024"/>
  </r>
  <r>
    <s v="ORD-1101"/>
    <x v="68"/>
    <s v="CUST013"/>
    <s v="Sanjay Yadav"/>
    <x v="1"/>
    <x v="2"/>
    <s v="Rajasthan"/>
    <s v="Jaipur"/>
    <x v="0"/>
    <s v="Accessories"/>
    <s v="USB Hub"/>
    <n v="3"/>
    <n v="800"/>
    <n v="0.2"/>
    <n v="1920"/>
    <n v="194.43"/>
    <n v="450.56"/>
    <s v="First Class"/>
    <m/>
    <m/>
    <n v="1920"/>
    <n v="0.101265625"/>
    <s v="Normal"/>
    <s v="High"/>
    <x v="4"/>
    <n v="2024"/>
  </r>
  <r>
    <s v="ORD-1102"/>
    <x v="67"/>
    <s v="CUST016"/>
    <s v="Sunita Pandey"/>
    <x v="1"/>
    <x v="0"/>
    <s v="Telangana"/>
    <s v="Hyderabad"/>
    <x v="0"/>
    <s v="Laptops"/>
    <s v="HP Pavilion"/>
    <n v="5"/>
    <n v="50000"/>
    <n v="0"/>
    <n v="250000"/>
    <n v="43660.160000000003"/>
    <n v="438.57"/>
    <s v="First Class"/>
    <m/>
    <m/>
    <n v="250000"/>
    <n v="0.17464064000000001"/>
    <s v="High Value"/>
    <s v="No Discount"/>
    <x v="4"/>
    <n v="2024"/>
  </r>
  <r>
    <s v="ORD-1103"/>
    <x v="69"/>
    <s v="CUST014"/>
    <s v="Divya Chauhan"/>
    <x v="0"/>
    <x v="3"/>
    <s v="Bihar"/>
    <s v="Patna"/>
    <x v="2"/>
    <s v="Men"/>
    <s v="Men Jeans"/>
    <n v="2"/>
    <n v="2500"/>
    <n v="0.05"/>
    <n v="4750"/>
    <n v="820.95"/>
    <n v="163.68"/>
    <s v="First Class"/>
    <m/>
    <m/>
    <n v="4750"/>
    <n v="0.17283157894736842"/>
    <s v="Normal"/>
    <s v="Low"/>
    <x v="4"/>
    <n v="2024"/>
  </r>
  <r>
    <s v="ORD-1104"/>
    <x v="70"/>
    <s v="CUST013"/>
    <s v="Sanjay Yadav"/>
    <x v="2"/>
    <x v="1"/>
    <s v="Punjab"/>
    <s v="Chandigarh"/>
    <x v="0"/>
    <s v="Mobiles"/>
    <s v="Redmi Note 12"/>
    <n v="5"/>
    <n v="18000"/>
    <n v="0.15"/>
    <n v="76500"/>
    <n v="14291.83"/>
    <n v="249.01"/>
    <s v="Same Day"/>
    <m/>
    <m/>
    <n v="76500"/>
    <n v="0.18682130718954248"/>
    <s v="High Value"/>
    <s v="High"/>
    <x v="4"/>
    <n v="2024"/>
  </r>
  <r>
    <s v="ORD-1105"/>
    <x v="65"/>
    <s v="CUST002"/>
    <s v="Priya Patel"/>
    <x v="0"/>
    <x v="0"/>
    <s v="Karnataka"/>
    <s v="Mysuru"/>
    <x v="1"/>
    <s v="Decor"/>
    <s v="Curtains"/>
    <n v="4"/>
    <n v="2500"/>
    <n v="0"/>
    <n v="10000"/>
    <n v="1175.0899999999999"/>
    <n v="84.06"/>
    <s v="Same Day"/>
    <m/>
    <m/>
    <n v="10000"/>
    <n v="0.11750899999999999"/>
    <s v="Normal"/>
    <s v="No Discount"/>
    <x v="4"/>
    <n v="2024"/>
  </r>
  <r>
    <s v="ORD-1106"/>
    <x v="71"/>
    <s v="CUST005"/>
    <s v="Amit Singh"/>
    <x v="0"/>
    <x v="0"/>
    <s v="Tamil Nadu"/>
    <s v="Coimbatore"/>
    <x v="1"/>
    <s v="Decor"/>
    <s v="Cushion Set"/>
    <n v="1"/>
    <n v="1200"/>
    <n v="0.1"/>
    <n v="1080"/>
    <n v="252.23"/>
    <n v="334.92"/>
    <s v="Standard Class"/>
    <m/>
    <m/>
    <n v="1080"/>
    <n v="0.23354629629629628"/>
    <s v="Normal"/>
    <s v="Medium"/>
    <x v="4"/>
    <n v="2024"/>
  </r>
  <r>
    <s v="ORD-1107"/>
    <x v="72"/>
    <s v="CUST007"/>
    <s v="Deepak Gupta"/>
    <x v="2"/>
    <x v="2"/>
    <s v="Rajasthan"/>
    <s v="Jaipur"/>
    <x v="0"/>
    <s v="Laptops"/>
    <s v="Asus VivoBook"/>
    <n v="3"/>
    <n v="42000"/>
    <n v="0"/>
    <n v="126000"/>
    <n v="16873.07"/>
    <n v="104.95"/>
    <s v="Same Day"/>
    <m/>
    <m/>
    <n v="126000"/>
    <n v="0.13391325396825396"/>
    <s v="High Value"/>
    <s v="No Discount"/>
    <x v="4"/>
    <n v="2024"/>
  </r>
  <r>
    <s v="ORD-1108"/>
    <x v="73"/>
    <s v="CUST015"/>
    <s v="Nikhil Bose"/>
    <x v="2"/>
    <x v="2"/>
    <s v="Rajasthan"/>
    <s v="Jaipur"/>
    <x v="0"/>
    <s v="Mobiles"/>
    <s v="Vivo V27"/>
    <n v="5"/>
    <n v="22000"/>
    <n v="0"/>
    <n v="110000"/>
    <n v="20304.689999999999"/>
    <n v="458.19"/>
    <s v="First Class"/>
    <m/>
    <m/>
    <n v="110000"/>
    <n v="0.1845880909090909"/>
    <s v="High Value"/>
    <s v="No Discount"/>
    <x v="4"/>
    <n v="2024"/>
  </r>
  <r>
    <s v="ORD-1109"/>
    <x v="74"/>
    <s v="CUST010"/>
    <s v="Pooja Reddy"/>
    <x v="2"/>
    <x v="1"/>
    <s v="Punjab"/>
    <s v="Amritsar"/>
    <x v="2"/>
    <s v="Men"/>
    <s v="Men Jeans"/>
    <n v="3"/>
    <n v="2500"/>
    <n v="0.15"/>
    <n v="6375"/>
    <n v="990.21"/>
    <n v="66.42"/>
    <s v="First Class"/>
    <m/>
    <m/>
    <n v="6375"/>
    <n v="0.15532705882352943"/>
    <s v="Normal"/>
    <s v="High"/>
    <x v="4"/>
    <n v="2024"/>
  </r>
  <r>
    <s v="ORD-1110"/>
    <x v="69"/>
    <s v="CUST016"/>
    <s v="Sunita Pandey"/>
    <x v="0"/>
    <x v="2"/>
    <s v="Maharashtra"/>
    <s v="Mumbai"/>
    <x v="1"/>
    <s v="Furniture"/>
    <s v="Sofa"/>
    <n v="5"/>
    <n v="25000"/>
    <n v="0"/>
    <n v="125000"/>
    <n v="15415.49"/>
    <n v="372.01"/>
    <s v="Same Day"/>
    <m/>
    <m/>
    <n v="125000"/>
    <n v="0.12332392"/>
    <s v="High Value"/>
    <s v="No Discount"/>
    <x v="4"/>
    <n v="2024"/>
  </r>
  <r>
    <s v="ORD-1111"/>
    <x v="75"/>
    <s v="CUST004"/>
    <s v="Sneha Verma"/>
    <x v="2"/>
    <x v="1"/>
    <s v="Uttar Pradesh"/>
    <s v="Noida"/>
    <x v="0"/>
    <s v="Accessories"/>
    <s v="Smartwatch"/>
    <n v="4"/>
    <n v="8000"/>
    <n v="0"/>
    <n v="32000"/>
    <n v="7774.95"/>
    <n v="164.3"/>
    <s v="Second Class"/>
    <m/>
    <m/>
    <n v="32000"/>
    <n v="0.24296718749999999"/>
    <s v="High Value"/>
    <s v="No Discount"/>
    <x v="4"/>
    <n v="2024"/>
  </r>
  <r>
    <s v="ORD-1112"/>
    <x v="76"/>
    <s v="CUST005"/>
    <s v="Amit Singh"/>
    <x v="1"/>
    <x v="3"/>
    <s v="Odisha"/>
    <s v="Cuttack"/>
    <x v="2"/>
    <s v="Men"/>
    <s v="Men Shoes"/>
    <n v="4"/>
    <n v="2800"/>
    <n v="0.1"/>
    <n v="10080"/>
    <n v="2539.7399999999998"/>
    <n v="189.73"/>
    <s v="Same Day"/>
    <m/>
    <m/>
    <n v="10080"/>
    <n v="0.25195833333333328"/>
    <s v="High Value"/>
    <s v="Medium"/>
    <x v="4"/>
    <n v="2024"/>
  </r>
  <r>
    <s v="ORD-1113"/>
    <x v="76"/>
    <s v="CUST024"/>
    <s v="Nisha Tiwari"/>
    <x v="1"/>
    <x v="3"/>
    <s v="West Bengal"/>
    <s v="Siliguri"/>
    <x v="0"/>
    <s v="Laptops"/>
    <s v="Dell Inspiron"/>
    <n v="1"/>
    <n v="55000"/>
    <n v="0.2"/>
    <n v="44000"/>
    <n v="9584.7900000000009"/>
    <n v="244.29"/>
    <s v="Standard Class"/>
    <m/>
    <m/>
    <n v="44000"/>
    <n v="0.21783613636363638"/>
    <s v="High Value"/>
    <s v="High"/>
    <x v="4"/>
    <n v="2024"/>
  </r>
  <r>
    <s v="ORD-1114"/>
    <x v="75"/>
    <s v="CUST017"/>
    <s v="Arjun Malhotra"/>
    <x v="2"/>
    <x v="2"/>
    <s v="Rajasthan"/>
    <s v="Jodhpur"/>
    <x v="0"/>
    <s v="Accessories"/>
    <s v="Wireless Earbuds"/>
    <n v="3"/>
    <n v="3500"/>
    <n v="0.1"/>
    <n v="9450"/>
    <n v="2098.79"/>
    <n v="327.61"/>
    <s v="Second Class"/>
    <m/>
    <m/>
    <n v="9450"/>
    <n v="0.2220941798941799"/>
    <s v="Normal"/>
    <s v="Medium"/>
    <x v="4"/>
    <n v="2024"/>
  </r>
  <r>
    <s v="ORD-1115"/>
    <x v="72"/>
    <s v="CUST004"/>
    <s v="Sneha Verma"/>
    <x v="1"/>
    <x v="3"/>
    <s v="Odisha"/>
    <s v="Bhubaneswar"/>
    <x v="2"/>
    <s v="Kids"/>
    <s v="School Bag"/>
    <n v="3"/>
    <n v="1500"/>
    <n v="0"/>
    <n v="4500"/>
    <n v="1013.45"/>
    <n v="160.15"/>
    <s v="Standard Class"/>
    <m/>
    <m/>
    <n v="4500"/>
    <n v="0.22521111111111111"/>
    <s v="Normal"/>
    <s v="No Discount"/>
    <x v="4"/>
    <n v="2024"/>
  </r>
  <r>
    <s v="ORD-1116"/>
    <x v="73"/>
    <s v="CUST004"/>
    <s v="Sneha Verma"/>
    <x v="0"/>
    <x v="1"/>
    <s v="Punjab"/>
    <s v="Ludhiana"/>
    <x v="1"/>
    <s v="Furniture"/>
    <s v="Bookshelf"/>
    <n v="5"/>
    <n v="4500"/>
    <n v="0"/>
    <n v="22500"/>
    <n v="5865.44"/>
    <n v="258.08"/>
    <s v="Second Class"/>
    <m/>
    <m/>
    <n v="22500"/>
    <n v="0.26068622222222221"/>
    <s v="High Value"/>
    <s v="No Discount"/>
    <x v="4"/>
    <n v="2024"/>
  </r>
  <r>
    <s v="ORD-1117"/>
    <x v="77"/>
    <s v="CUST012"/>
    <s v="Meera Iyer"/>
    <x v="0"/>
    <x v="1"/>
    <s v="Uttar Pradesh"/>
    <s v="Agra"/>
    <x v="2"/>
    <s v="Men"/>
    <s v="Men Jeans"/>
    <n v="5"/>
    <n v="2500"/>
    <n v="0.2"/>
    <n v="10000"/>
    <n v="1781.33"/>
    <n v="134.13999999999999"/>
    <s v="First Class"/>
    <m/>
    <m/>
    <n v="10000"/>
    <n v="0.17813299999999999"/>
    <s v="Normal"/>
    <s v="High"/>
    <x v="5"/>
    <n v="2024"/>
  </r>
  <r>
    <s v="ORD-1118"/>
    <x v="78"/>
    <s v="CUST016"/>
    <s v="Sunita Pandey"/>
    <x v="0"/>
    <x v="1"/>
    <s v="Punjab"/>
    <s v="Amritsar"/>
    <x v="0"/>
    <s v="Accessories"/>
    <s v="Wireless Earbuds"/>
    <n v="1"/>
    <n v="3500"/>
    <n v="0"/>
    <n v="3500"/>
    <n v="521.07000000000005"/>
    <n v="251.42"/>
    <s v="Second Class"/>
    <m/>
    <m/>
    <n v="3500"/>
    <n v="0.14887714285714287"/>
    <s v="Normal"/>
    <s v="No Discount"/>
    <x v="5"/>
    <n v="2024"/>
  </r>
  <r>
    <s v="ORD-1119"/>
    <x v="79"/>
    <s v="CUST021"/>
    <s v="Karan Oberoi"/>
    <x v="0"/>
    <x v="2"/>
    <s v="Rajasthan"/>
    <s v="Jodhpur"/>
    <x v="0"/>
    <s v="Mobiles"/>
    <s v="Redmi Note 12"/>
    <n v="5"/>
    <n v="18000"/>
    <n v="0"/>
    <n v="90000"/>
    <n v="12755"/>
    <n v="404.75"/>
    <s v="Standard Class"/>
    <m/>
    <m/>
    <n v="90000"/>
    <n v="0.14172222222222222"/>
    <s v="High Value"/>
    <s v="No Discount"/>
    <x v="5"/>
    <n v="2024"/>
  </r>
  <r>
    <s v="ORD-1120"/>
    <x v="80"/>
    <s v="CUST019"/>
    <s v="Manoj Das"/>
    <x v="1"/>
    <x v="3"/>
    <s v="Odisha"/>
    <s v="Cuttack"/>
    <x v="0"/>
    <s v="Laptops"/>
    <s v="Lenovo IdeaPad"/>
    <n v="1"/>
    <n v="45000"/>
    <n v="0"/>
    <n v="45000"/>
    <n v="8831.26"/>
    <n v="81.75"/>
    <s v="First Class"/>
    <m/>
    <m/>
    <n v="45000"/>
    <n v="0.19625022222222221"/>
    <s v="High Value"/>
    <s v="No Discount"/>
    <x v="5"/>
    <n v="2024"/>
  </r>
  <r>
    <s v="ORD-1121"/>
    <x v="79"/>
    <s v="CUST007"/>
    <s v="Deepak Gupta"/>
    <x v="1"/>
    <x v="0"/>
    <s v="Telangana"/>
    <s v="Warangal"/>
    <x v="0"/>
    <s v="Mobiles"/>
    <s v="iPhone 14"/>
    <n v="5"/>
    <n v="75000"/>
    <n v="0"/>
    <n v="375000"/>
    <n v="84449.9"/>
    <n v="51.43"/>
    <s v="Standard Class"/>
    <m/>
    <m/>
    <n v="375000"/>
    <n v="0.22519973333333332"/>
    <s v="High Value"/>
    <s v="No Discount"/>
    <x v="5"/>
    <n v="2024"/>
  </r>
  <r>
    <s v="ORD-1122"/>
    <x v="81"/>
    <s v="CUST015"/>
    <s v="Nikhil Bose"/>
    <x v="2"/>
    <x v="3"/>
    <s v="West Bengal"/>
    <s v="Siliguri"/>
    <x v="0"/>
    <s v="Laptops"/>
    <s v="HP Pavilion"/>
    <n v="5"/>
    <n v="50000"/>
    <n v="0"/>
    <n v="250000"/>
    <n v="64909.52"/>
    <n v="155.21"/>
    <s v="Standard Class"/>
    <m/>
    <m/>
    <n v="250000"/>
    <n v="0.25963807999999999"/>
    <s v="High Value"/>
    <s v="No Discount"/>
    <x v="5"/>
    <n v="2024"/>
  </r>
  <r>
    <s v="ORD-1123"/>
    <x v="82"/>
    <s v="CUST002"/>
    <s v="Priya Patel"/>
    <x v="1"/>
    <x v="1"/>
    <s v="Delhi"/>
    <s v="Rohini"/>
    <x v="1"/>
    <s v="Decor"/>
    <s v="Wall Clock"/>
    <n v="4"/>
    <n v="1500"/>
    <n v="0"/>
    <n v="6000"/>
    <n v="748.43"/>
    <n v="304.23"/>
    <s v="Standard Class"/>
    <m/>
    <m/>
    <n v="6000"/>
    <n v="0.12473833333333333"/>
    <s v="Normal"/>
    <s v="No Discount"/>
    <x v="5"/>
    <n v="2024"/>
  </r>
  <r>
    <s v="ORD-1124"/>
    <x v="77"/>
    <s v="CUST020"/>
    <s v="Geeta Mishra"/>
    <x v="0"/>
    <x v="0"/>
    <s v="Tamil Nadu"/>
    <s v="Coimbatore"/>
    <x v="1"/>
    <s v="Appliances"/>
    <s v="Air Fryer"/>
    <n v="3"/>
    <n v="5500"/>
    <n v="0.05"/>
    <n v="15675"/>
    <n v="1890.78"/>
    <n v="188.79"/>
    <s v="Same Day"/>
    <m/>
    <m/>
    <n v="15675"/>
    <n v="0.12062392344497608"/>
    <s v="High Value"/>
    <s v="Low"/>
    <x v="5"/>
    <n v="2024"/>
  </r>
  <r>
    <s v="ORD-1125"/>
    <x v="78"/>
    <s v="CUST009"/>
    <s v="Vikram Joshi"/>
    <x v="2"/>
    <x v="2"/>
    <s v="Rajasthan"/>
    <s v="Jaipur"/>
    <x v="1"/>
    <s v="Appliances"/>
    <s v="Induction Cooktop"/>
    <n v="2"/>
    <n v="4000"/>
    <n v="0"/>
    <n v="8000"/>
    <n v="985.14"/>
    <n v="378.57"/>
    <s v="Same Day"/>
    <m/>
    <m/>
    <n v="8000"/>
    <n v="0.1231425"/>
    <s v="Normal"/>
    <s v="No Discount"/>
    <x v="5"/>
    <n v="2024"/>
  </r>
  <r>
    <s v="ORD-1126"/>
    <x v="83"/>
    <s v="CUST022"/>
    <s v="Shruti Agarwal"/>
    <x v="2"/>
    <x v="2"/>
    <s v="Rajasthan"/>
    <s v="Jodhpur"/>
    <x v="2"/>
    <s v="Women"/>
    <s v="Women Saree"/>
    <n v="2"/>
    <n v="3500"/>
    <n v="0"/>
    <n v="7000"/>
    <n v="803.92"/>
    <n v="93.48"/>
    <s v="Standard Class"/>
    <m/>
    <m/>
    <n v="7000"/>
    <n v="0.11484571428571427"/>
    <s v="Normal"/>
    <s v="No Discount"/>
    <x v="5"/>
    <n v="2024"/>
  </r>
  <r>
    <s v="ORD-1127"/>
    <x v="84"/>
    <s v="CUST014"/>
    <s v="Divya Chauhan"/>
    <x v="0"/>
    <x v="0"/>
    <s v="Tamil Nadu"/>
    <s v="Chennai"/>
    <x v="2"/>
    <s v="Men"/>
    <s v="Men Shoes"/>
    <n v="1"/>
    <n v="2800"/>
    <n v="0.05"/>
    <n v="2660"/>
    <n v="528.84"/>
    <n v="154.19"/>
    <s v="Standard Class"/>
    <m/>
    <m/>
    <n v="2660"/>
    <n v="0.198812030075188"/>
    <s v="Normal"/>
    <s v="Low"/>
    <x v="5"/>
    <n v="2024"/>
  </r>
  <r>
    <s v="ORD-1128"/>
    <x v="85"/>
    <s v="CUST016"/>
    <s v="Sunita Pandey"/>
    <x v="0"/>
    <x v="0"/>
    <s v="Karnataka"/>
    <s v="Bengaluru"/>
    <x v="0"/>
    <s v="Laptops"/>
    <s v="MacBook Air"/>
    <n v="5"/>
    <n v="115000"/>
    <n v="0"/>
    <n v="575000"/>
    <n v="114209.14"/>
    <n v="158.65"/>
    <s v="First Class"/>
    <m/>
    <m/>
    <n v="575000"/>
    <n v="0.19862459130434781"/>
    <s v="High Value"/>
    <s v="No Discount"/>
    <x v="5"/>
    <n v="2024"/>
  </r>
  <r>
    <s v="ORD-1129"/>
    <x v="86"/>
    <s v="CUST011"/>
    <s v="Rahul Tiwari"/>
    <x v="0"/>
    <x v="2"/>
    <s v="Maharashtra"/>
    <s v="Mumbai"/>
    <x v="0"/>
    <s v="Laptops"/>
    <s v="HP Pavilion"/>
    <n v="2"/>
    <n v="50000"/>
    <n v="0.1"/>
    <n v="90000"/>
    <n v="10659.77"/>
    <n v="332.92"/>
    <s v="Second Class"/>
    <m/>
    <m/>
    <n v="90000"/>
    <n v="0.11844188888888889"/>
    <s v="High Value"/>
    <s v="Medium"/>
    <x v="5"/>
    <n v="2024"/>
  </r>
  <r>
    <s v="ORD-1130"/>
    <x v="85"/>
    <s v="CUST018"/>
    <s v="Riya Kapoor"/>
    <x v="0"/>
    <x v="0"/>
    <s v="Telangana"/>
    <s v="Warangal"/>
    <x v="0"/>
    <s v="Laptops"/>
    <s v="HP Pavilion"/>
    <n v="1"/>
    <n v="50000"/>
    <n v="0"/>
    <n v="50000"/>
    <n v="7388.56"/>
    <n v="101.69"/>
    <s v="Second Class"/>
    <m/>
    <m/>
    <n v="50000"/>
    <n v="0.14777120000000002"/>
    <s v="High Value"/>
    <s v="No Discount"/>
    <x v="5"/>
    <n v="2024"/>
  </r>
  <r>
    <s v="ORD-1131"/>
    <x v="87"/>
    <s v="CUST012"/>
    <s v="Meera Iyer"/>
    <x v="0"/>
    <x v="3"/>
    <s v="Odisha"/>
    <s v="Bhubaneswar"/>
    <x v="2"/>
    <s v="Women"/>
    <s v="Women Shoes"/>
    <n v="3"/>
    <n v="2400"/>
    <n v="0.1"/>
    <n v="6480"/>
    <n v="630.48"/>
    <n v="231.5"/>
    <s v="Standard Class"/>
    <m/>
    <m/>
    <n v="6480"/>
    <n v="9.7296296296296297E-2"/>
    <s v="Normal"/>
    <s v="Medium"/>
    <x v="5"/>
    <n v="2024"/>
  </r>
  <r>
    <s v="ORD-1132"/>
    <x v="82"/>
    <s v="CUST020"/>
    <s v="Geeta Mishra"/>
    <x v="1"/>
    <x v="2"/>
    <s v="Rajasthan"/>
    <s v="Jaipur"/>
    <x v="2"/>
    <s v="Men"/>
    <s v="Men Jeans"/>
    <n v="4"/>
    <n v="2500"/>
    <n v="0.05"/>
    <n v="9500"/>
    <n v="1421.79"/>
    <n v="229.62"/>
    <s v="Same Day"/>
    <m/>
    <m/>
    <n v="9500"/>
    <n v="0.1496621052631579"/>
    <s v="Normal"/>
    <s v="Low"/>
    <x v="5"/>
    <n v="2024"/>
  </r>
  <r>
    <s v="ORD-1133"/>
    <x v="88"/>
    <s v="CUST013"/>
    <s v="Sanjay Yadav"/>
    <x v="2"/>
    <x v="2"/>
    <s v="Rajasthan"/>
    <s v="Jodhpur"/>
    <x v="0"/>
    <s v="Accessories"/>
    <s v="USB Hub"/>
    <n v="3"/>
    <n v="800"/>
    <n v="0"/>
    <n v="2400"/>
    <n v="604.21"/>
    <n v="312.62"/>
    <s v="Second Class"/>
    <m/>
    <m/>
    <n v="2400"/>
    <n v="0.25175416666666667"/>
    <s v="Normal"/>
    <s v="No Discount"/>
    <x v="5"/>
    <n v="2024"/>
  </r>
  <r>
    <s v="ORD-1134"/>
    <x v="88"/>
    <s v="CUST010"/>
    <s v="Pooja Reddy"/>
    <x v="1"/>
    <x v="2"/>
    <s v="Rajasthan"/>
    <s v="Jodhpur"/>
    <x v="0"/>
    <s v="Mobiles"/>
    <s v="Vivo V27"/>
    <n v="3"/>
    <n v="22000"/>
    <n v="0"/>
    <n v="66000"/>
    <n v="5281.64"/>
    <n v="80.31"/>
    <s v="Standard Class"/>
    <m/>
    <m/>
    <n v="66000"/>
    <n v="8.002484848484849E-2"/>
    <s v="High Value"/>
    <s v="No Discount"/>
    <x v="5"/>
    <n v="2024"/>
  </r>
  <r>
    <s v="ORD-1135"/>
    <x v="89"/>
    <s v="CUST014"/>
    <s v="Divya Chauhan"/>
    <x v="2"/>
    <x v="3"/>
    <s v="Bihar"/>
    <s v="Gaya"/>
    <x v="1"/>
    <s v="Appliances"/>
    <s v="Mixer Grinder"/>
    <n v="5"/>
    <n v="3200"/>
    <n v="0.15"/>
    <n v="13600"/>
    <n v="1483.26"/>
    <n v="405"/>
    <s v="Same Day"/>
    <m/>
    <m/>
    <n v="13600"/>
    <n v="0.10906323529411764"/>
    <s v="High Value"/>
    <s v="High"/>
    <x v="5"/>
    <n v="2024"/>
  </r>
  <r>
    <s v="ORD-1136"/>
    <x v="90"/>
    <s v="CUST007"/>
    <s v="Deepak Gupta"/>
    <x v="1"/>
    <x v="1"/>
    <s v="Uttar Pradesh"/>
    <s v="Lucknow"/>
    <x v="2"/>
    <s v="Men"/>
    <s v="Men Shirt"/>
    <n v="1"/>
    <n v="1200"/>
    <n v="0.05"/>
    <n v="1140"/>
    <n v="131.07"/>
    <n v="229.45"/>
    <s v="Standard Class"/>
    <m/>
    <m/>
    <n v="1140"/>
    <n v="0.11497368421052631"/>
    <s v="Normal"/>
    <s v="Low"/>
    <x v="5"/>
    <n v="2024"/>
  </r>
  <r>
    <s v="ORD-1137"/>
    <x v="91"/>
    <s v="CUST023"/>
    <s v="Ravi Shankar"/>
    <x v="1"/>
    <x v="3"/>
    <s v="Bihar"/>
    <s v="Gaya"/>
    <x v="1"/>
    <s v="Furniture"/>
    <s v="Bed Frame"/>
    <n v="3"/>
    <n v="18000"/>
    <n v="0.15"/>
    <n v="45900"/>
    <n v="3827.06"/>
    <n v="201.13"/>
    <s v="Second Class"/>
    <m/>
    <m/>
    <n v="45900"/>
    <n v="8.3378213507625268E-2"/>
    <s v="High Value"/>
    <s v="High"/>
    <x v="6"/>
    <n v="2024"/>
  </r>
  <r>
    <s v="ORD-1138"/>
    <x v="92"/>
    <s v="CUST021"/>
    <s v="Karan Oberoi"/>
    <x v="0"/>
    <x v="1"/>
    <s v="Uttar Pradesh"/>
    <s v="Kanpur"/>
    <x v="1"/>
    <s v="Decor"/>
    <s v="Table Lamp"/>
    <n v="2"/>
    <n v="1800"/>
    <n v="0.05"/>
    <n v="3420"/>
    <n v="340.03"/>
    <n v="74.25"/>
    <s v="First Class"/>
    <m/>
    <m/>
    <n v="3420"/>
    <n v="9.9423976608187123E-2"/>
    <s v="Normal"/>
    <s v="Low"/>
    <x v="6"/>
    <n v="2024"/>
  </r>
  <r>
    <s v="ORD-1139"/>
    <x v="93"/>
    <s v="CUST006"/>
    <s v="Kavya Nair"/>
    <x v="0"/>
    <x v="1"/>
    <s v="Uttar Pradesh"/>
    <s v="Kanpur"/>
    <x v="0"/>
    <s v="Accessories"/>
    <s v="Power Bank"/>
    <n v="3"/>
    <n v="1200"/>
    <n v="0"/>
    <n v="3600"/>
    <n v="409.51"/>
    <n v="161.74"/>
    <s v="Same Day"/>
    <m/>
    <m/>
    <n v="3600"/>
    <n v="0.11375277777777777"/>
    <s v="Normal"/>
    <s v="No Discount"/>
    <x v="6"/>
    <n v="2024"/>
  </r>
  <r>
    <s v="ORD-1140"/>
    <x v="93"/>
    <s v="CUST002"/>
    <s v="Priya Patel"/>
    <x v="1"/>
    <x v="1"/>
    <s v="Punjab"/>
    <s v="Chandigarh"/>
    <x v="2"/>
    <s v="Kids"/>
    <s v="Kids Jacket"/>
    <n v="5"/>
    <n v="1800"/>
    <n v="0"/>
    <n v="9000"/>
    <n v="2388.19"/>
    <n v="118.99"/>
    <s v="First Class"/>
    <m/>
    <m/>
    <n v="9000"/>
    <n v="0.26535444444444445"/>
    <s v="Normal"/>
    <s v="No Discount"/>
    <x v="6"/>
    <n v="2024"/>
  </r>
  <r>
    <s v="ORD-1141"/>
    <x v="94"/>
    <s v="CUST006"/>
    <s v="Kavya Nair"/>
    <x v="2"/>
    <x v="1"/>
    <s v="Delhi"/>
    <s v="New Delhi"/>
    <x v="1"/>
    <s v="Decor"/>
    <s v="Curtains"/>
    <n v="3"/>
    <n v="2500"/>
    <n v="0"/>
    <n v="7500"/>
    <n v="1624.06"/>
    <n v="139"/>
    <s v="First Class"/>
    <m/>
    <m/>
    <n v="7500"/>
    <n v="0.21654133333333334"/>
    <s v="Normal"/>
    <s v="No Discount"/>
    <x v="6"/>
    <n v="2024"/>
  </r>
  <r>
    <s v="ORD-1142"/>
    <x v="95"/>
    <s v="CUST024"/>
    <s v="Nisha Tiwari"/>
    <x v="0"/>
    <x v="1"/>
    <s v="Delhi"/>
    <s v="Rohini"/>
    <x v="0"/>
    <s v="Laptops"/>
    <s v="Lenovo IdeaPad"/>
    <n v="3"/>
    <n v="45000"/>
    <n v="0"/>
    <n v="135000"/>
    <n v="21433.97"/>
    <n v="354.7"/>
    <s v="Second Class"/>
    <m/>
    <m/>
    <n v="135000"/>
    <n v="0.15877014814814816"/>
    <s v="High Value"/>
    <s v="No Discount"/>
    <x v="6"/>
    <n v="2024"/>
  </r>
  <r>
    <s v="ORD-1143"/>
    <x v="96"/>
    <s v="CUST013"/>
    <s v="Sanjay Yadav"/>
    <x v="2"/>
    <x v="2"/>
    <s v="Maharashtra"/>
    <s v="Mumbai"/>
    <x v="0"/>
    <s v="Laptops"/>
    <s v="MacBook Air"/>
    <n v="5"/>
    <n v="115000"/>
    <n v="0.05"/>
    <n v="546250"/>
    <n v="100289.35"/>
    <n v="359.04"/>
    <s v="Second Class"/>
    <m/>
    <m/>
    <n v="546250"/>
    <n v="0.18359606407322657"/>
    <s v="High Value"/>
    <s v="Low"/>
    <x v="6"/>
    <n v="2024"/>
  </r>
  <r>
    <s v="ORD-1144"/>
    <x v="92"/>
    <s v="CUST013"/>
    <s v="Sanjay Yadav"/>
    <x v="1"/>
    <x v="1"/>
    <s v="Uttar Pradesh"/>
    <s v="Noida"/>
    <x v="1"/>
    <s v="Decor"/>
    <s v="Photo Frame"/>
    <n v="5"/>
    <n v="600"/>
    <n v="0.05"/>
    <n v="2850"/>
    <n v="572.76"/>
    <n v="265.64999999999998"/>
    <s v="Same Day"/>
    <m/>
    <m/>
    <n v="2850"/>
    <n v="0.20096842105263157"/>
    <s v="Normal"/>
    <s v="Low"/>
    <x v="6"/>
    <n v="2024"/>
  </r>
  <r>
    <s v="ORD-1145"/>
    <x v="97"/>
    <s v="CUST017"/>
    <s v="Arjun Malhotra"/>
    <x v="0"/>
    <x v="3"/>
    <s v="West Bengal"/>
    <s v="Siliguri"/>
    <x v="0"/>
    <s v="Mobiles"/>
    <s v="Samsung S23"/>
    <n v="1"/>
    <n v="55000"/>
    <n v="0.1"/>
    <n v="49500"/>
    <n v="7109.43"/>
    <n v="192.67"/>
    <s v="Second Class"/>
    <m/>
    <m/>
    <n v="49500"/>
    <n v="0.14362484848484849"/>
    <s v="High Value"/>
    <s v="Medium"/>
    <x v="6"/>
    <n v="2024"/>
  </r>
  <r>
    <s v="ORD-1146"/>
    <x v="98"/>
    <s v="CUST014"/>
    <s v="Divya Chauhan"/>
    <x v="1"/>
    <x v="2"/>
    <s v="Maharashtra"/>
    <s v="Mumbai"/>
    <x v="1"/>
    <s v="Decor"/>
    <s v="Photo Frame"/>
    <n v="4"/>
    <n v="600"/>
    <n v="0"/>
    <n v="2400"/>
    <n v="646.70000000000005"/>
    <n v="369.72"/>
    <s v="Second Class"/>
    <m/>
    <m/>
    <n v="2400"/>
    <n v="0.26945833333333336"/>
    <s v="Normal"/>
    <s v="No Discount"/>
    <x v="6"/>
    <n v="2024"/>
  </r>
  <r>
    <s v="ORD-1147"/>
    <x v="95"/>
    <s v="CUST012"/>
    <s v="Meera Iyer"/>
    <x v="1"/>
    <x v="2"/>
    <s v="Gujarat"/>
    <s v="Vadodara"/>
    <x v="2"/>
    <s v="Men"/>
    <s v="Men Jeans"/>
    <n v="2"/>
    <n v="2500"/>
    <n v="0.2"/>
    <n v="4000"/>
    <n v="338.1"/>
    <n v="177.91"/>
    <s v="First Class"/>
    <m/>
    <m/>
    <n v="4000"/>
    <n v="8.4525000000000003E-2"/>
    <s v="Normal"/>
    <s v="High"/>
    <x v="6"/>
    <n v="2024"/>
  </r>
  <r>
    <s v="ORD-1148"/>
    <x v="99"/>
    <s v="CUST019"/>
    <s v="Manoj Das"/>
    <x v="1"/>
    <x v="3"/>
    <s v="Bihar"/>
    <s v="Patna"/>
    <x v="1"/>
    <s v="Decor"/>
    <s v="Photo Frame"/>
    <n v="4"/>
    <n v="600"/>
    <n v="0"/>
    <n v="2400"/>
    <n v="547.66999999999996"/>
    <n v="87.1"/>
    <s v="Second Class"/>
    <m/>
    <m/>
    <n v="2400"/>
    <n v="0.22819583333333332"/>
    <s v="Normal"/>
    <s v="No Discount"/>
    <x v="6"/>
    <n v="2024"/>
  </r>
  <r>
    <s v="ORD-1149"/>
    <x v="100"/>
    <s v="CUST015"/>
    <s v="Nikhil Bose"/>
    <x v="1"/>
    <x v="1"/>
    <s v="Delhi"/>
    <s v="Rohini"/>
    <x v="1"/>
    <s v="Decor"/>
    <s v="Curtains"/>
    <n v="1"/>
    <n v="2500"/>
    <n v="0.2"/>
    <n v="2000"/>
    <n v="310.19"/>
    <n v="304.23"/>
    <s v="First Class"/>
    <m/>
    <m/>
    <n v="2000"/>
    <n v="0.15509500000000001"/>
    <s v="Normal"/>
    <s v="High"/>
    <x v="6"/>
    <n v="2024"/>
  </r>
  <r>
    <s v="ORD-1150"/>
    <x v="101"/>
    <s v="CUST004"/>
    <s v="Sneha Verma"/>
    <x v="1"/>
    <x v="0"/>
    <s v="Tamil Nadu"/>
    <s v="Coimbatore"/>
    <x v="0"/>
    <s v="Accessories"/>
    <s v="USB Hub"/>
    <n v="4"/>
    <n v="800"/>
    <n v="0"/>
    <n v="3200"/>
    <n v="404.54"/>
    <n v="358.42"/>
    <s v="Second Class"/>
    <m/>
    <m/>
    <n v="3200"/>
    <n v="0.12641875"/>
    <s v="Normal"/>
    <s v="No Discount"/>
    <x v="6"/>
    <n v="2024"/>
  </r>
  <r>
    <s v="ORD-1151"/>
    <x v="101"/>
    <s v="CUST014"/>
    <s v="Divya Chauhan"/>
    <x v="2"/>
    <x v="1"/>
    <s v="Uttar Pradesh"/>
    <s v="Lucknow"/>
    <x v="0"/>
    <s v="Mobiles"/>
    <s v="iPhone 14"/>
    <n v="5"/>
    <n v="75000"/>
    <n v="0"/>
    <n v="375000"/>
    <n v="54261.65"/>
    <n v="193.36"/>
    <s v="First Class"/>
    <m/>
    <m/>
    <n v="375000"/>
    <n v="0.14469773333333333"/>
    <s v="High Value"/>
    <s v="No Discount"/>
    <x v="6"/>
    <n v="2024"/>
  </r>
  <r>
    <s v="ORD-1152"/>
    <x v="102"/>
    <s v="CUST002"/>
    <s v="Priya Patel"/>
    <x v="2"/>
    <x v="1"/>
    <s v="Delhi"/>
    <s v="Rohini"/>
    <x v="0"/>
    <s v="Mobiles"/>
    <s v="iPhone 14"/>
    <n v="1"/>
    <n v="75000"/>
    <n v="0"/>
    <n v="75000"/>
    <n v="13206.77"/>
    <n v="450.39"/>
    <s v="Same Day"/>
    <m/>
    <m/>
    <n v="75000"/>
    <n v="0.17609026666666666"/>
    <s v="High Value"/>
    <s v="No Discount"/>
    <x v="6"/>
    <n v="2024"/>
  </r>
  <r>
    <s v="ORD-1153"/>
    <x v="103"/>
    <s v="CUST014"/>
    <s v="Divya Chauhan"/>
    <x v="0"/>
    <x v="2"/>
    <s v="Rajasthan"/>
    <s v="Jaipur"/>
    <x v="2"/>
    <s v="Kids"/>
    <s v="School Bag"/>
    <n v="1"/>
    <n v="1500"/>
    <n v="0"/>
    <n v="1500"/>
    <n v="362.81"/>
    <n v="145.87"/>
    <s v="Same Day"/>
    <m/>
    <m/>
    <n v="1500"/>
    <n v="0.24187333333333333"/>
    <s v="Normal"/>
    <s v="No Discount"/>
    <x v="6"/>
    <n v="2024"/>
  </r>
  <r>
    <s v="ORD-1154"/>
    <x v="93"/>
    <s v="CUST015"/>
    <s v="Nikhil Bose"/>
    <x v="0"/>
    <x v="3"/>
    <s v="West Bengal"/>
    <s v="Siliguri"/>
    <x v="1"/>
    <s v="Appliances"/>
    <s v="Toaster"/>
    <n v="1"/>
    <n v="2200"/>
    <n v="0"/>
    <n v="2200"/>
    <n v="539.27"/>
    <n v="477.28"/>
    <s v="Standard Class"/>
    <m/>
    <m/>
    <n v="2200"/>
    <n v="0.24512272727272727"/>
    <s v="Normal"/>
    <s v="No Discount"/>
    <x v="6"/>
    <n v="2024"/>
  </r>
  <r>
    <s v="ORD-1155"/>
    <x v="104"/>
    <s v="CUST014"/>
    <s v="Divya Chauhan"/>
    <x v="2"/>
    <x v="0"/>
    <s v="Tamil Nadu"/>
    <s v="Coimbatore"/>
    <x v="2"/>
    <s v="Men"/>
    <s v="Men Jeans"/>
    <n v="3"/>
    <n v="2500"/>
    <n v="0"/>
    <n v="7500"/>
    <n v="1529.61"/>
    <n v="230.01"/>
    <s v="Second Class"/>
    <m/>
    <m/>
    <n v="7500"/>
    <n v="0.20394799999999999"/>
    <s v="Normal"/>
    <s v="No Discount"/>
    <x v="6"/>
    <n v="2024"/>
  </r>
  <r>
    <s v="ORD-1156"/>
    <x v="102"/>
    <s v="CUST007"/>
    <s v="Deepak Gupta"/>
    <x v="2"/>
    <x v="2"/>
    <s v="Maharashtra"/>
    <s v="Pune"/>
    <x v="2"/>
    <s v="Kids"/>
    <s v="Kids Shoes"/>
    <n v="2"/>
    <n v="1000"/>
    <n v="0.1"/>
    <n v="1800"/>
    <n v="483.19"/>
    <n v="214.33"/>
    <s v="Second Class"/>
    <m/>
    <m/>
    <n v="1800"/>
    <n v="0.26843888888888889"/>
    <s v="Normal"/>
    <s v="Medium"/>
    <x v="6"/>
    <n v="2024"/>
  </r>
  <r>
    <s v="ORD-1157"/>
    <x v="105"/>
    <s v="CUST002"/>
    <s v="Priya Patel"/>
    <x v="1"/>
    <x v="1"/>
    <s v="Punjab"/>
    <s v="Chandigarh"/>
    <x v="1"/>
    <s v="Appliances"/>
    <s v="Air Fryer"/>
    <n v="4"/>
    <n v="5500"/>
    <n v="0"/>
    <n v="22000"/>
    <n v="5274.39"/>
    <n v="82.7"/>
    <s v="First Class"/>
    <m/>
    <m/>
    <n v="22000"/>
    <n v="0.23974500000000001"/>
    <s v="High Value"/>
    <s v="No Discount"/>
    <x v="6"/>
    <n v="2024"/>
  </r>
  <r>
    <s v="ORD-1158"/>
    <x v="106"/>
    <s v="CUST002"/>
    <s v="Priya Patel"/>
    <x v="2"/>
    <x v="0"/>
    <s v="Tamil Nadu"/>
    <s v="Madurai"/>
    <x v="2"/>
    <s v="Women"/>
    <s v="Women Dress"/>
    <n v="4"/>
    <n v="2200"/>
    <n v="0.1"/>
    <n v="7920"/>
    <n v="1601.21"/>
    <n v="396.9"/>
    <s v="Second Class"/>
    <m/>
    <m/>
    <n v="7920"/>
    <n v="0.2021729797979798"/>
    <s v="Normal"/>
    <s v="Medium"/>
    <x v="6"/>
    <n v="2024"/>
  </r>
  <r>
    <s v="ORD-1159"/>
    <x v="107"/>
    <s v="CUST018"/>
    <s v="Riya Kapoor"/>
    <x v="1"/>
    <x v="0"/>
    <s v="Telangana"/>
    <s v="Hyderabad"/>
    <x v="2"/>
    <s v="Women"/>
    <s v="Women Kurti"/>
    <n v="1"/>
    <n v="900"/>
    <n v="0"/>
    <n v="900"/>
    <n v="81.69"/>
    <n v="53.9"/>
    <s v="Second Class"/>
    <m/>
    <m/>
    <n v="900"/>
    <n v="9.0766666666666662E-2"/>
    <s v="Normal"/>
    <s v="No Discount"/>
    <x v="6"/>
    <n v="2024"/>
  </r>
  <r>
    <s v="ORD-1160"/>
    <x v="108"/>
    <s v="CUST009"/>
    <s v="Vikram Joshi"/>
    <x v="0"/>
    <x v="1"/>
    <s v="Delhi"/>
    <s v="New Delhi"/>
    <x v="2"/>
    <s v="Women"/>
    <s v="Women Blazer"/>
    <n v="2"/>
    <n v="3200"/>
    <n v="0.15"/>
    <n v="5440"/>
    <n v="1361.01"/>
    <n v="183.12"/>
    <s v="Second Class"/>
    <m/>
    <m/>
    <n v="5440"/>
    <n v="0.25018566176470586"/>
    <s v="Normal"/>
    <s v="High"/>
    <x v="7"/>
    <n v="2024"/>
  </r>
  <r>
    <s v="ORD-1161"/>
    <x v="109"/>
    <s v="CUST024"/>
    <s v="Nisha Tiwari"/>
    <x v="0"/>
    <x v="1"/>
    <s v="Uttar Pradesh"/>
    <s v="Kanpur"/>
    <x v="1"/>
    <s v="Decor"/>
    <s v="Wall Clock"/>
    <n v="2"/>
    <n v="1500"/>
    <n v="0.2"/>
    <n v="2400"/>
    <n v="432.92"/>
    <n v="73.28"/>
    <s v="Second Class"/>
    <m/>
    <m/>
    <n v="2400"/>
    <n v="0.18038333333333334"/>
    <s v="Normal"/>
    <s v="High"/>
    <x v="7"/>
    <n v="2024"/>
  </r>
  <r>
    <s v="ORD-1162"/>
    <x v="110"/>
    <s v="CUST012"/>
    <s v="Meera Iyer"/>
    <x v="0"/>
    <x v="1"/>
    <s v="Punjab"/>
    <s v="Amritsar"/>
    <x v="0"/>
    <s v="Laptops"/>
    <s v="Dell Inspiron"/>
    <n v="5"/>
    <n v="55000"/>
    <n v="0"/>
    <n v="275000"/>
    <n v="40830"/>
    <n v="224.25"/>
    <s v="Same Day"/>
    <m/>
    <m/>
    <n v="275000"/>
    <n v="0.14847272727272728"/>
    <s v="High Value"/>
    <s v="No Discount"/>
    <x v="7"/>
    <n v="2024"/>
  </r>
  <r>
    <s v="ORD-1163"/>
    <x v="110"/>
    <s v="CUST010"/>
    <s v="Pooja Reddy"/>
    <x v="1"/>
    <x v="1"/>
    <s v="Uttar Pradesh"/>
    <s v="Lucknow"/>
    <x v="2"/>
    <s v="Men"/>
    <s v="Men Jeans"/>
    <n v="3"/>
    <n v="2500"/>
    <n v="0"/>
    <n v="7500"/>
    <n v="830"/>
    <n v="450.02"/>
    <s v="First Class"/>
    <m/>
    <m/>
    <n v="7500"/>
    <n v="0.11066666666666666"/>
    <s v="Normal"/>
    <s v="No Discount"/>
    <x v="7"/>
    <n v="2024"/>
  </r>
  <r>
    <s v="ORD-1164"/>
    <x v="111"/>
    <s v="CUST008"/>
    <s v="Anita Mehta"/>
    <x v="1"/>
    <x v="2"/>
    <s v="Rajasthan"/>
    <s v="Jodhpur"/>
    <x v="1"/>
    <s v="Decor"/>
    <s v="Wall Clock"/>
    <n v="1"/>
    <n v="1500"/>
    <n v="0.1"/>
    <n v="1350"/>
    <n v="329.12"/>
    <n v="300.93"/>
    <s v="Second Class"/>
    <m/>
    <m/>
    <n v="1350"/>
    <n v="0.24379259259259259"/>
    <s v="Normal"/>
    <s v="Medium"/>
    <x v="7"/>
    <n v="2024"/>
  </r>
  <r>
    <s v="ORD-1165"/>
    <x v="112"/>
    <s v="CUST014"/>
    <s v="Divya Chauhan"/>
    <x v="2"/>
    <x v="0"/>
    <s v="Karnataka"/>
    <s v="Bengaluru"/>
    <x v="1"/>
    <s v="Appliances"/>
    <s v="Mixer Grinder"/>
    <n v="3"/>
    <n v="3200"/>
    <n v="0.2"/>
    <n v="7680"/>
    <n v="1939.15"/>
    <n v="378.25"/>
    <s v="First Class"/>
    <m/>
    <m/>
    <n v="7680"/>
    <n v="0.25249348958333334"/>
    <s v="Normal"/>
    <s v="High"/>
    <x v="7"/>
    <n v="2024"/>
  </r>
  <r>
    <s v="ORD-1166"/>
    <x v="108"/>
    <s v="CUST018"/>
    <s v="Riya Kapoor"/>
    <x v="2"/>
    <x v="3"/>
    <s v="Bihar"/>
    <s v="Patna"/>
    <x v="0"/>
    <s v="Mobiles"/>
    <s v="iPhone 14"/>
    <n v="2"/>
    <n v="75000"/>
    <n v="0.1"/>
    <n v="135000"/>
    <n v="29057.67"/>
    <n v="205.12"/>
    <s v="Standard Class"/>
    <m/>
    <m/>
    <n v="135000"/>
    <n v="0.21524199999999999"/>
    <s v="High Value"/>
    <s v="Medium"/>
    <x v="7"/>
    <n v="2024"/>
  </r>
  <r>
    <s v="ORD-1167"/>
    <x v="113"/>
    <s v="CUST007"/>
    <s v="Deepak Gupta"/>
    <x v="2"/>
    <x v="2"/>
    <s v="Gujarat"/>
    <s v="Vadodara"/>
    <x v="2"/>
    <s v="Women"/>
    <s v="Women Shoes"/>
    <n v="3"/>
    <n v="2400"/>
    <n v="0.05"/>
    <n v="6840"/>
    <n v="1900.78"/>
    <n v="295.97000000000003"/>
    <s v="First Class"/>
    <m/>
    <m/>
    <n v="6840"/>
    <n v="0.27789181286549708"/>
    <s v="Normal"/>
    <s v="Low"/>
    <x v="7"/>
    <n v="2024"/>
  </r>
  <r>
    <s v="ORD-1168"/>
    <x v="114"/>
    <s v="CUST007"/>
    <s v="Deepak Gupta"/>
    <x v="1"/>
    <x v="3"/>
    <s v="Bihar"/>
    <s v="Gaya"/>
    <x v="0"/>
    <s v="Laptops"/>
    <s v="Lenovo IdeaPad"/>
    <n v="4"/>
    <n v="45000"/>
    <n v="0.2"/>
    <n v="144000"/>
    <n v="39370.300000000003"/>
    <n v="53.89"/>
    <s v="Second Class"/>
    <m/>
    <m/>
    <n v="144000"/>
    <n v="0.27340486111111112"/>
    <s v="High Value"/>
    <s v="High"/>
    <x v="7"/>
    <n v="2024"/>
  </r>
  <r>
    <s v="ORD-1169"/>
    <x v="115"/>
    <s v="CUST008"/>
    <s v="Anita Mehta"/>
    <x v="2"/>
    <x v="0"/>
    <s v="Telangana"/>
    <s v="Warangal"/>
    <x v="1"/>
    <s v="Appliances"/>
    <s v="Electric Kettle"/>
    <n v="4"/>
    <n v="1800"/>
    <n v="0.05"/>
    <n v="6840"/>
    <n v="1855.12"/>
    <n v="466.86"/>
    <s v="First Class"/>
    <m/>
    <m/>
    <n v="6840"/>
    <n v="0.27121637426900586"/>
    <s v="Normal"/>
    <s v="Low"/>
    <x v="7"/>
    <n v="2024"/>
  </r>
  <r>
    <s v="ORD-1170"/>
    <x v="116"/>
    <s v="CUST007"/>
    <s v="Deepak Gupta"/>
    <x v="1"/>
    <x v="2"/>
    <s v="Rajasthan"/>
    <s v="Jodhpur"/>
    <x v="1"/>
    <s v="Decor"/>
    <s v="Photo Frame"/>
    <n v="4"/>
    <n v="600"/>
    <n v="0.2"/>
    <n v="1920"/>
    <n v="198.57"/>
    <n v="127.88"/>
    <s v="Same Day"/>
    <m/>
    <m/>
    <n v="1920"/>
    <n v="0.103421875"/>
    <s v="Normal"/>
    <s v="High"/>
    <x v="7"/>
    <n v="2024"/>
  </r>
  <r>
    <s v="ORD-1171"/>
    <x v="117"/>
    <s v="CUST004"/>
    <s v="Sneha Verma"/>
    <x v="0"/>
    <x v="1"/>
    <s v="Uttar Pradesh"/>
    <s v="Kanpur"/>
    <x v="1"/>
    <s v="Decor"/>
    <s v="Table Lamp"/>
    <n v="4"/>
    <n v="1800"/>
    <n v="0.1"/>
    <n v="6480"/>
    <n v="1262.5"/>
    <n v="499.01"/>
    <s v="Standard Class"/>
    <m/>
    <m/>
    <n v="6480"/>
    <n v="0.19483024691358025"/>
    <s v="Normal"/>
    <s v="Medium"/>
    <x v="7"/>
    <n v="2024"/>
  </r>
  <r>
    <s v="ORD-1172"/>
    <x v="114"/>
    <s v="CUST006"/>
    <s v="Kavya Nair"/>
    <x v="2"/>
    <x v="1"/>
    <s v="Punjab"/>
    <s v="Chandigarh"/>
    <x v="0"/>
    <s v="Laptops"/>
    <s v="Lenovo IdeaPad"/>
    <n v="3"/>
    <n v="45000"/>
    <n v="0"/>
    <n v="135000"/>
    <n v="11408.48"/>
    <n v="343.27"/>
    <s v="Second Class"/>
    <m/>
    <m/>
    <n v="135000"/>
    <n v="8.4507259259259254E-2"/>
    <s v="High Value"/>
    <s v="No Discount"/>
    <x v="7"/>
    <n v="2024"/>
  </r>
  <r>
    <s v="ORD-1173"/>
    <x v="118"/>
    <s v="CUST005"/>
    <s v="Amit Singh"/>
    <x v="2"/>
    <x v="0"/>
    <s v="Telangana"/>
    <s v="Warangal"/>
    <x v="2"/>
    <s v="Women"/>
    <s v="Women Blazer"/>
    <n v="5"/>
    <n v="3200"/>
    <n v="0"/>
    <n v="16000"/>
    <n v="3238.38"/>
    <n v="83.21"/>
    <s v="Same Day"/>
    <m/>
    <m/>
    <n v="16000"/>
    <n v="0.20239875000000002"/>
    <s v="High Value"/>
    <s v="No Discount"/>
    <x v="7"/>
    <n v="2024"/>
  </r>
  <r>
    <s v="ORD-1174"/>
    <x v="119"/>
    <s v="CUST010"/>
    <s v="Pooja Reddy"/>
    <x v="1"/>
    <x v="1"/>
    <s v="Uttar Pradesh"/>
    <s v="Agra"/>
    <x v="0"/>
    <s v="Mobiles"/>
    <s v="OnePlus 11"/>
    <n v="3"/>
    <n v="40000"/>
    <n v="0"/>
    <n v="120000"/>
    <n v="10048.049999999999"/>
    <n v="129.86000000000001"/>
    <s v="Same Day"/>
    <m/>
    <m/>
    <n v="120000"/>
    <n v="8.3733749999999996E-2"/>
    <s v="High Value"/>
    <s v="No Discount"/>
    <x v="7"/>
    <n v="2024"/>
  </r>
  <r>
    <s v="ORD-1175"/>
    <x v="114"/>
    <s v="CUST012"/>
    <s v="Meera Iyer"/>
    <x v="1"/>
    <x v="1"/>
    <s v="Uttar Pradesh"/>
    <s v="Noida"/>
    <x v="1"/>
    <s v="Furniture"/>
    <s v="Office Chair"/>
    <n v="4"/>
    <n v="8500"/>
    <n v="0.05"/>
    <n v="32300"/>
    <n v="7857.74"/>
    <n v="131.93"/>
    <s v="Standard Class"/>
    <m/>
    <m/>
    <n v="32300"/>
    <n v="0.24327368421052631"/>
    <s v="High Value"/>
    <s v="Low"/>
    <x v="7"/>
    <n v="2024"/>
  </r>
  <r>
    <s v="ORD-1176"/>
    <x v="115"/>
    <s v="CUST003"/>
    <s v="Rohit Kumar"/>
    <x v="1"/>
    <x v="2"/>
    <s v="Rajasthan"/>
    <s v="Jodhpur"/>
    <x v="1"/>
    <s v="Appliances"/>
    <s v="Induction Cooktop"/>
    <n v="5"/>
    <n v="4000"/>
    <n v="0.2"/>
    <n v="16000"/>
    <n v="3911.82"/>
    <n v="483.66"/>
    <s v="Same Day"/>
    <m/>
    <m/>
    <n v="16000"/>
    <n v="0.24448875"/>
    <s v="High Value"/>
    <s v="High"/>
    <x v="7"/>
    <n v="2024"/>
  </r>
  <r>
    <s v="ORD-1177"/>
    <x v="112"/>
    <s v="CUST014"/>
    <s v="Divya Chauhan"/>
    <x v="1"/>
    <x v="1"/>
    <s v="Delhi"/>
    <s v="Dwarka"/>
    <x v="1"/>
    <s v="Decor"/>
    <s v="Wall Clock"/>
    <n v="2"/>
    <n v="1500"/>
    <n v="0.1"/>
    <n v="2700"/>
    <n v="542.39"/>
    <n v="208.92"/>
    <s v="Same Day"/>
    <m/>
    <m/>
    <n v="2700"/>
    <n v="0.20088518518518517"/>
    <s v="Normal"/>
    <s v="Medium"/>
    <x v="7"/>
    <n v="2024"/>
  </r>
  <r>
    <s v="ORD-1178"/>
    <x v="113"/>
    <s v="CUST024"/>
    <s v="Nisha Tiwari"/>
    <x v="0"/>
    <x v="0"/>
    <s v="Tamil Nadu"/>
    <s v="Chennai"/>
    <x v="1"/>
    <s v="Appliances"/>
    <s v="Toaster"/>
    <n v="3"/>
    <n v="2200"/>
    <n v="0"/>
    <n v="6600"/>
    <n v="1766.6"/>
    <n v="161.93"/>
    <s v="Same Day"/>
    <m/>
    <m/>
    <n v="6600"/>
    <n v="0.26766666666666666"/>
    <s v="Normal"/>
    <s v="No Discount"/>
    <x v="7"/>
    <n v="2024"/>
  </r>
  <r>
    <s v="ORD-1179"/>
    <x v="120"/>
    <s v="CUST004"/>
    <s v="Sneha Verma"/>
    <x v="0"/>
    <x v="0"/>
    <s v="Tamil Nadu"/>
    <s v="Chennai"/>
    <x v="0"/>
    <s v="Laptops"/>
    <s v="MacBook Air"/>
    <n v="5"/>
    <n v="115000"/>
    <n v="0.2"/>
    <n v="460000"/>
    <n v="60571.18"/>
    <n v="335.56"/>
    <s v="Second Class"/>
    <m/>
    <m/>
    <n v="460000"/>
    <n v="0.13167647826086956"/>
    <s v="High Value"/>
    <s v="High"/>
    <x v="7"/>
    <n v="2024"/>
  </r>
  <r>
    <s v="ORD-1180"/>
    <x v="115"/>
    <s v="CUST003"/>
    <s v="Rohit Kumar"/>
    <x v="1"/>
    <x v="0"/>
    <s v="Karnataka"/>
    <s v="Mangaluru"/>
    <x v="1"/>
    <s v="Furniture"/>
    <s v="Study Table"/>
    <n v="3"/>
    <n v="6000"/>
    <n v="0.15"/>
    <n v="15300"/>
    <n v="2150.38"/>
    <n v="328.95"/>
    <s v="Standard Class"/>
    <m/>
    <m/>
    <n v="15300"/>
    <n v="0.14054771241830066"/>
    <s v="High Value"/>
    <s v="High"/>
    <x v="7"/>
    <n v="2024"/>
  </r>
  <r>
    <s v="ORD-1181"/>
    <x v="115"/>
    <s v="CUST018"/>
    <s v="Riya Kapoor"/>
    <x v="2"/>
    <x v="3"/>
    <s v="Odisha"/>
    <s v="Bhubaneswar"/>
    <x v="1"/>
    <s v="Appliances"/>
    <s v="Air Fryer"/>
    <n v="5"/>
    <n v="5500"/>
    <n v="0"/>
    <n v="27500"/>
    <n v="6959.98"/>
    <n v="171.57"/>
    <s v="Same Day"/>
    <m/>
    <m/>
    <n v="27500"/>
    <n v="0.25309018181818183"/>
    <s v="High Value"/>
    <s v="No Discount"/>
    <x v="7"/>
    <n v="2024"/>
  </r>
  <r>
    <s v="ORD-1182"/>
    <x v="120"/>
    <s v="CUST003"/>
    <s v="Rohit Kumar"/>
    <x v="0"/>
    <x v="2"/>
    <s v="Rajasthan"/>
    <s v="Jaipur"/>
    <x v="1"/>
    <s v="Furniture"/>
    <s v="Study Table"/>
    <n v="4"/>
    <n v="6000"/>
    <n v="0"/>
    <n v="24000"/>
    <n v="5426.61"/>
    <n v="295.77"/>
    <s v="First Class"/>
    <m/>
    <m/>
    <n v="24000"/>
    <n v="0.22610875"/>
    <s v="High Value"/>
    <s v="No Discount"/>
    <x v="7"/>
    <n v="2024"/>
  </r>
  <r>
    <s v="ORD-1183"/>
    <x v="121"/>
    <s v="CUST008"/>
    <s v="Anita Mehta"/>
    <x v="0"/>
    <x v="2"/>
    <s v="Maharashtra"/>
    <s v="Pune"/>
    <x v="1"/>
    <s v="Furniture"/>
    <s v="Office Chair"/>
    <n v="5"/>
    <n v="8500"/>
    <n v="0"/>
    <n v="42500"/>
    <n v="3801.02"/>
    <n v="53.56"/>
    <s v="Standard Class"/>
    <m/>
    <m/>
    <n v="42500"/>
    <n v="8.9435764705882353E-2"/>
    <s v="High Value"/>
    <s v="No Discount"/>
    <x v="7"/>
    <n v="2024"/>
  </r>
  <r>
    <s v="ORD-1184"/>
    <x v="122"/>
    <s v="CUST004"/>
    <s v="Sneha Verma"/>
    <x v="2"/>
    <x v="0"/>
    <s v="Tamil Nadu"/>
    <s v="Madurai"/>
    <x v="2"/>
    <s v="Kids"/>
    <s v="Kids T-Shirt"/>
    <n v="1"/>
    <n v="600"/>
    <n v="0"/>
    <n v="600"/>
    <n v="60.64"/>
    <n v="250.25"/>
    <s v="First Class"/>
    <m/>
    <m/>
    <n v="600"/>
    <n v="0.10106666666666667"/>
    <s v="Normal"/>
    <s v="No Discount"/>
    <x v="7"/>
    <n v="2024"/>
  </r>
  <r>
    <s v="ORD-1185"/>
    <x v="123"/>
    <s v="CUST016"/>
    <s v="Sunita Pandey"/>
    <x v="2"/>
    <x v="3"/>
    <s v="Odisha"/>
    <s v="Cuttack"/>
    <x v="1"/>
    <s v="Decor"/>
    <s v="Curtains"/>
    <n v="4"/>
    <n v="2500"/>
    <n v="0"/>
    <n v="10000"/>
    <n v="2517.7399999999998"/>
    <n v="77.260000000000005"/>
    <s v="First Class"/>
    <m/>
    <m/>
    <n v="10000"/>
    <n v="0.251774"/>
    <s v="Normal"/>
    <s v="No Discount"/>
    <x v="7"/>
    <n v="2024"/>
  </r>
  <r>
    <s v="ORD-1186"/>
    <x v="108"/>
    <s v="CUST014"/>
    <s v="Divya Chauhan"/>
    <x v="0"/>
    <x v="1"/>
    <s v="Punjab"/>
    <s v="Ludhiana"/>
    <x v="1"/>
    <s v="Decor"/>
    <s v="Table Lamp"/>
    <n v="5"/>
    <n v="1800"/>
    <n v="0"/>
    <n v="9000"/>
    <n v="1086.24"/>
    <n v="54.31"/>
    <s v="Standard Class"/>
    <m/>
    <m/>
    <n v="9000"/>
    <n v="0.12069333333333333"/>
    <s v="Normal"/>
    <s v="No Discount"/>
    <x v="7"/>
    <n v="2024"/>
  </r>
  <r>
    <s v="ORD-1187"/>
    <x v="124"/>
    <s v="CUST014"/>
    <s v="Divya Chauhan"/>
    <x v="0"/>
    <x v="1"/>
    <s v="Punjab"/>
    <s v="Chandigarh"/>
    <x v="2"/>
    <s v="Women"/>
    <s v="Women Saree"/>
    <n v="4"/>
    <n v="3500"/>
    <n v="0"/>
    <n v="14000"/>
    <n v="3225.61"/>
    <n v="111.22"/>
    <s v="Standard Class"/>
    <m/>
    <m/>
    <n v="14000"/>
    <n v="0.23040071428571429"/>
    <s v="High Value"/>
    <s v="No Discount"/>
    <x v="8"/>
    <n v="2024"/>
  </r>
  <r>
    <s v="ORD-1188"/>
    <x v="125"/>
    <s v="CUST003"/>
    <s v="Rohit Kumar"/>
    <x v="2"/>
    <x v="1"/>
    <s v="Punjab"/>
    <s v="Chandigarh"/>
    <x v="2"/>
    <s v="Kids"/>
    <s v="School Bag"/>
    <n v="5"/>
    <n v="1500"/>
    <n v="0.2"/>
    <n v="6000"/>
    <n v="824.18"/>
    <n v="498.8"/>
    <s v="Second Class"/>
    <m/>
    <m/>
    <n v="6000"/>
    <n v="0.13736333333333334"/>
    <s v="Normal"/>
    <s v="High"/>
    <x v="8"/>
    <n v="2024"/>
  </r>
  <r>
    <s v="ORD-1189"/>
    <x v="126"/>
    <s v="CUST022"/>
    <s v="Shruti Agarwal"/>
    <x v="1"/>
    <x v="2"/>
    <s v="Gujarat"/>
    <s v="Ahmedabad"/>
    <x v="0"/>
    <s v="Accessories"/>
    <s v="Smartwatch"/>
    <n v="2"/>
    <n v="8000"/>
    <n v="0.2"/>
    <n v="12800"/>
    <n v="2951.36"/>
    <n v="234.61"/>
    <s v="Standard Class"/>
    <m/>
    <m/>
    <n v="12800"/>
    <n v="0.230575"/>
    <s v="High Value"/>
    <s v="High"/>
    <x v="8"/>
    <n v="2024"/>
  </r>
  <r>
    <s v="ORD-1190"/>
    <x v="127"/>
    <s v="CUST013"/>
    <s v="Sanjay Yadav"/>
    <x v="2"/>
    <x v="1"/>
    <s v="Punjab"/>
    <s v="Amritsar"/>
    <x v="1"/>
    <s v="Decor"/>
    <s v="Wall Clock"/>
    <n v="1"/>
    <n v="1500"/>
    <n v="0.15"/>
    <n v="1275"/>
    <n v="237.19"/>
    <n v="322.04000000000002"/>
    <s v="First Class"/>
    <m/>
    <m/>
    <n v="1275"/>
    <n v="0.18603137254901961"/>
    <s v="Normal"/>
    <s v="High"/>
    <x v="8"/>
    <n v="2024"/>
  </r>
  <r>
    <s v="ORD-1191"/>
    <x v="128"/>
    <s v="CUST012"/>
    <s v="Meera Iyer"/>
    <x v="1"/>
    <x v="1"/>
    <s v="Punjab"/>
    <s v="Ludhiana"/>
    <x v="1"/>
    <s v="Appliances"/>
    <s v="Electric Kettle"/>
    <n v="2"/>
    <n v="1800"/>
    <n v="0.2"/>
    <n v="2880"/>
    <n v="796.66"/>
    <n v="122.17"/>
    <s v="Second Class"/>
    <m/>
    <m/>
    <n v="2880"/>
    <n v="0.27661805555555552"/>
    <s v="Normal"/>
    <s v="High"/>
    <x v="8"/>
    <n v="2024"/>
  </r>
  <r>
    <s v="ORD-1192"/>
    <x v="124"/>
    <s v="CUST014"/>
    <s v="Divya Chauhan"/>
    <x v="0"/>
    <x v="1"/>
    <s v="Punjab"/>
    <s v="Chandigarh"/>
    <x v="1"/>
    <s v="Decor"/>
    <s v="Photo Frame"/>
    <n v="4"/>
    <n v="600"/>
    <n v="0.2"/>
    <n v="1920"/>
    <n v="191.04"/>
    <n v="410.86"/>
    <s v="First Class"/>
    <m/>
    <m/>
    <n v="1920"/>
    <n v="9.9499999999999991E-2"/>
    <s v="Normal"/>
    <s v="High"/>
    <x v="8"/>
    <n v="2024"/>
  </r>
  <r>
    <s v="ORD-1193"/>
    <x v="129"/>
    <s v="CUST009"/>
    <s v="Vikram Joshi"/>
    <x v="1"/>
    <x v="0"/>
    <s v="Karnataka"/>
    <s v="Mangaluru"/>
    <x v="2"/>
    <s v="Women"/>
    <s v="Women Dress"/>
    <n v="4"/>
    <n v="2200"/>
    <n v="0"/>
    <n v="8800"/>
    <n v="770.56"/>
    <n v="437.04"/>
    <s v="Standard Class"/>
    <m/>
    <m/>
    <n v="8800"/>
    <n v="8.7563636363636357E-2"/>
    <s v="Normal"/>
    <s v="No Discount"/>
    <x v="8"/>
    <n v="2024"/>
  </r>
  <r>
    <s v="ORD-1194"/>
    <x v="126"/>
    <s v="CUST001"/>
    <s v="Aarav Sharma"/>
    <x v="1"/>
    <x v="1"/>
    <s v="Uttar Pradesh"/>
    <s v="Lucknow"/>
    <x v="2"/>
    <s v="Kids"/>
    <s v="Kids T-Shirt"/>
    <n v="5"/>
    <n v="600"/>
    <n v="0.15"/>
    <n v="2550"/>
    <n v="409.58"/>
    <n v="167.65"/>
    <s v="Standard Class"/>
    <m/>
    <m/>
    <n v="2550"/>
    <n v="0.16061960784313725"/>
    <s v="Normal"/>
    <s v="High"/>
    <x v="8"/>
    <n v="2024"/>
  </r>
  <r>
    <s v="ORD-1195"/>
    <x v="130"/>
    <s v="CUST025"/>
    <s v="Aditya Bhatt"/>
    <x v="1"/>
    <x v="3"/>
    <s v="Bihar"/>
    <s v="Patna"/>
    <x v="0"/>
    <s v="Laptops"/>
    <s v="MacBook Air"/>
    <n v="4"/>
    <n v="115000"/>
    <n v="0"/>
    <n v="460000"/>
    <n v="65845.62"/>
    <n v="352.17"/>
    <s v="Second Class"/>
    <m/>
    <m/>
    <n v="460000"/>
    <n v="0.14314265217391303"/>
    <s v="High Value"/>
    <s v="No Discount"/>
    <x v="8"/>
    <n v="2024"/>
  </r>
  <r>
    <s v="ORD-1196"/>
    <x v="131"/>
    <s v="CUST022"/>
    <s v="Shruti Agarwal"/>
    <x v="2"/>
    <x v="0"/>
    <s v="Karnataka"/>
    <s v="Mysuru"/>
    <x v="1"/>
    <s v="Decor"/>
    <s v="Wall Clock"/>
    <n v="1"/>
    <n v="1500"/>
    <n v="0.2"/>
    <n v="1200"/>
    <n v="167.46"/>
    <n v="128.51"/>
    <s v="First Class"/>
    <m/>
    <m/>
    <n v="1200"/>
    <n v="0.13955000000000001"/>
    <s v="Normal"/>
    <s v="High"/>
    <x v="8"/>
    <n v="2024"/>
  </r>
  <r>
    <s v="ORD-1197"/>
    <x v="132"/>
    <s v="CUST008"/>
    <s v="Anita Mehta"/>
    <x v="1"/>
    <x v="3"/>
    <s v="Bihar"/>
    <s v="Gaya"/>
    <x v="1"/>
    <s v="Furniture"/>
    <s v="Bookshelf"/>
    <n v="5"/>
    <n v="4500"/>
    <n v="0.2"/>
    <n v="18000"/>
    <n v="2204.65"/>
    <n v="105.03"/>
    <s v="Standard Class"/>
    <m/>
    <m/>
    <n v="18000"/>
    <n v="0.12248055555555556"/>
    <s v="High Value"/>
    <s v="High"/>
    <x v="8"/>
    <n v="2024"/>
  </r>
  <r>
    <s v="ORD-1198"/>
    <x v="129"/>
    <s v="CUST015"/>
    <s v="Nikhil Bose"/>
    <x v="0"/>
    <x v="2"/>
    <s v="Rajasthan"/>
    <s v="Jaipur"/>
    <x v="0"/>
    <s v="Mobiles"/>
    <s v="Vivo V27"/>
    <n v="2"/>
    <n v="22000"/>
    <n v="0"/>
    <n v="44000"/>
    <n v="9369.33"/>
    <n v="405.71"/>
    <s v="Standard Class"/>
    <m/>
    <m/>
    <n v="44000"/>
    <n v="0.21293931818181819"/>
    <s v="High Value"/>
    <s v="No Discount"/>
    <x v="8"/>
    <n v="2024"/>
  </r>
  <r>
    <s v="ORD-1199"/>
    <x v="127"/>
    <s v="CUST020"/>
    <s v="Geeta Mishra"/>
    <x v="2"/>
    <x v="0"/>
    <s v="Karnataka"/>
    <s v="Bengaluru"/>
    <x v="1"/>
    <s v="Decor"/>
    <s v="Table Lamp"/>
    <n v="5"/>
    <n v="1800"/>
    <n v="0.2"/>
    <n v="7200"/>
    <n v="1214.3599999999999"/>
    <n v="310.86"/>
    <s v="Same Day"/>
    <m/>
    <m/>
    <n v="7200"/>
    <n v="0.16866111111111109"/>
    <s v="Normal"/>
    <s v="High"/>
    <x v="8"/>
    <n v="2024"/>
  </r>
  <r>
    <s v="ORD-1200"/>
    <x v="128"/>
    <s v="CUST015"/>
    <s v="Nikhil Bose"/>
    <x v="1"/>
    <x v="3"/>
    <s v="West Bengal"/>
    <s v="Siliguri"/>
    <x v="2"/>
    <s v="Men"/>
    <s v="Men Shirt"/>
    <n v="3"/>
    <n v="1200"/>
    <n v="0.15"/>
    <n v="3060"/>
    <n v="659.96"/>
    <n v="430.16"/>
    <s v="Same Day"/>
    <m/>
    <m/>
    <n v="3060"/>
    <n v="0.21567320261437908"/>
    <s v="Normal"/>
    <s v="High"/>
    <x v="8"/>
    <n v="2024"/>
  </r>
  <r>
    <s v="ORD-1201"/>
    <x v="133"/>
    <s v="CUST017"/>
    <s v="Arjun Malhotra"/>
    <x v="2"/>
    <x v="0"/>
    <s v="Tamil Nadu"/>
    <s v="Chennai"/>
    <x v="2"/>
    <s v="Men"/>
    <s v="Men Shoes"/>
    <n v="5"/>
    <n v="2800"/>
    <n v="0"/>
    <n v="14000"/>
    <n v="1355.35"/>
    <n v="197.41"/>
    <s v="Same Day"/>
    <m/>
    <m/>
    <n v="14000"/>
    <n v="9.6810714285714278E-2"/>
    <s v="High Value"/>
    <s v="No Discount"/>
    <x v="8"/>
    <n v="2024"/>
  </r>
  <r>
    <s v="ORD-1202"/>
    <x v="134"/>
    <s v="CUST007"/>
    <s v="Deepak Gupta"/>
    <x v="1"/>
    <x v="2"/>
    <s v="Maharashtra"/>
    <s v="Mumbai"/>
    <x v="0"/>
    <s v="Accessories"/>
    <s v="Power Bank"/>
    <n v="5"/>
    <n v="1200"/>
    <n v="0.1"/>
    <n v="5400"/>
    <n v="623.96"/>
    <n v="161.94999999999999"/>
    <s v="Same Day"/>
    <m/>
    <m/>
    <n v="5400"/>
    <n v="0.11554814814814815"/>
    <s v="Normal"/>
    <s v="Medium"/>
    <x v="8"/>
    <n v="2024"/>
  </r>
  <r>
    <s v="ORD-1203"/>
    <x v="135"/>
    <s v="CUST007"/>
    <s v="Deepak Gupta"/>
    <x v="1"/>
    <x v="1"/>
    <s v="Punjab"/>
    <s v="Amritsar"/>
    <x v="2"/>
    <s v="Kids"/>
    <s v="Kids T-Shirt"/>
    <n v="1"/>
    <n v="600"/>
    <n v="0"/>
    <n v="600"/>
    <n v="124.54"/>
    <n v="220.82"/>
    <s v="Same Day"/>
    <m/>
    <m/>
    <n v="600"/>
    <n v="0.20756666666666668"/>
    <s v="Normal"/>
    <s v="No Discount"/>
    <x v="8"/>
    <n v="2024"/>
  </r>
  <r>
    <s v="ORD-1204"/>
    <x v="136"/>
    <s v="CUST023"/>
    <s v="Ravi Shankar"/>
    <x v="0"/>
    <x v="1"/>
    <s v="Punjab"/>
    <s v="Chandigarh"/>
    <x v="2"/>
    <s v="Men"/>
    <s v="Men Kurta"/>
    <n v="1"/>
    <n v="1500"/>
    <n v="0.1"/>
    <n v="1350"/>
    <n v="188.49"/>
    <n v="428.19"/>
    <s v="Standard Class"/>
    <m/>
    <m/>
    <n v="1350"/>
    <n v="0.13962222222222223"/>
    <s v="Normal"/>
    <s v="Medium"/>
    <x v="8"/>
    <n v="2024"/>
  </r>
  <r>
    <s v="ORD-1205"/>
    <x v="132"/>
    <s v="CUST022"/>
    <s v="Shruti Agarwal"/>
    <x v="2"/>
    <x v="1"/>
    <s v="Uttar Pradesh"/>
    <s v="Kanpur"/>
    <x v="2"/>
    <s v="Kids"/>
    <s v="School Bag"/>
    <n v="3"/>
    <n v="1500"/>
    <n v="0"/>
    <n v="4500"/>
    <n v="1124.31"/>
    <n v="58.45"/>
    <s v="Second Class"/>
    <m/>
    <m/>
    <n v="4500"/>
    <n v="0.24984666666666666"/>
    <s v="Normal"/>
    <s v="No Discount"/>
    <x v="8"/>
    <n v="2024"/>
  </r>
  <r>
    <s v="ORD-1206"/>
    <x v="125"/>
    <s v="CUST024"/>
    <s v="Nisha Tiwari"/>
    <x v="0"/>
    <x v="3"/>
    <s v="West Bengal"/>
    <s v="Kolkata"/>
    <x v="0"/>
    <s v="Accessories"/>
    <s v="USB Hub"/>
    <n v="1"/>
    <n v="800"/>
    <n v="0.2"/>
    <n v="640"/>
    <n v="59.2"/>
    <n v="323.70999999999998"/>
    <s v="Same Day"/>
    <m/>
    <m/>
    <n v="640"/>
    <n v="9.2499999999999999E-2"/>
    <s v="Normal"/>
    <s v="High"/>
    <x v="8"/>
    <n v="2024"/>
  </r>
  <r>
    <s v="ORD-1207"/>
    <x v="137"/>
    <s v="CUST001"/>
    <s v="Aarav Sharma"/>
    <x v="0"/>
    <x v="3"/>
    <s v="Odisha"/>
    <s v="Cuttack"/>
    <x v="2"/>
    <s v="Men"/>
    <s v="Men Shirt"/>
    <n v="4"/>
    <n v="1200"/>
    <n v="0"/>
    <n v="4800"/>
    <n v="1081.52"/>
    <n v="156.76"/>
    <s v="Standard Class"/>
    <m/>
    <m/>
    <n v="4800"/>
    <n v="0.22531666666666667"/>
    <s v="Normal"/>
    <s v="No Discount"/>
    <x v="8"/>
    <n v="2024"/>
  </r>
  <r>
    <s v="ORD-1208"/>
    <x v="138"/>
    <s v="CUST005"/>
    <s v="Amit Singh"/>
    <x v="1"/>
    <x v="1"/>
    <s v="Punjab"/>
    <s v="Chandigarh"/>
    <x v="1"/>
    <s v="Decor"/>
    <s v="Table Lamp"/>
    <n v="3"/>
    <n v="1800"/>
    <n v="0"/>
    <n v="5400"/>
    <n v="1429.87"/>
    <n v="411.09"/>
    <s v="Same Day"/>
    <m/>
    <m/>
    <n v="5400"/>
    <n v="0.26479074074074072"/>
    <s v="Normal"/>
    <s v="No Discount"/>
    <x v="9"/>
    <n v="2024"/>
  </r>
  <r>
    <s v="ORD-1209"/>
    <x v="139"/>
    <s v="CUST016"/>
    <s v="Sunita Pandey"/>
    <x v="0"/>
    <x v="0"/>
    <s v="Karnataka"/>
    <s v="Mangaluru"/>
    <x v="1"/>
    <s v="Decor"/>
    <s v="Table Lamp"/>
    <n v="3"/>
    <n v="1800"/>
    <n v="0.1"/>
    <n v="4860"/>
    <n v="979"/>
    <n v="265.57"/>
    <s v="First Class"/>
    <m/>
    <m/>
    <n v="4860"/>
    <n v="0.20144032921810701"/>
    <s v="Normal"/>
    <s v="Medium"/>
    <x v="9"/>
    <n v="2024"/>
  </r>
  <r>
    <s v="ORD-1210"/>
    <x v="140"/>
    <s v="CUST001"/>
    <s v="Aarav Sharma"/>
    <x v="0"/>
    <x v="2"/>
    <s v="Maharashtra"/>
    <s v="Pune"/>
    <x v="2"/>
    <s v="Men"/>
    <s v="Men Shirt"/>
    <n v="5"/>
    <n v="1200"/>
    <n v="0"/>
    <n v="6000"/>
    <n v="532.27"/>
    <n v="272.8"/>
    <s v="Second Class"/>
    <m/>
    <m/>
    <n v="6000"/>
    <n v="8.8711666666666661E-2"/>
    <s v="Normal"/>
    <s v="No Discount"/>
    <x v="9"/>
    <n v="2024"/>
  </r>
  <r>
    <s v="ORD-1211"/>
    <x v="141"/>
    <s v="CUST024"/>
    <s v="Nisha Tiwari"/>
    <x v="2"/>
    <x v="3"/>
    <s v="West Bengal"/>
    <s v="Siliguri"/>
    <x v="1"/>
    <s v="Furniture"/>
    <s v="Bookshelf"/>
    <n v="2"/>
    <n v="4500"/>
    <n v="0.2"/>
    <n v="7200"/>
    <n v="1809.34"/>
    <n v="445.18"/>
    <s v="First Class"/>
    <m/>
    <m/>
    <n v="7200"/>
    <n v="0.25129722222222223"/>
    <s v="Normal"/>
    <s v="High"/>
    <x v="9"/>
    <n v="2024"/>
  </r>
  <r>
    <s v="ORD-1212"/>
    <x v="142"/>
    <s v="CUST011"/>
    <s v="Rahul Tiwari"/>
    <x v="2"/>
    <x v="2"/>
    <s v="Rajasthan"/>
    <s v="Jodhpur"/>
    <x v="1"/>
    <s v="Appliances"/>
    <s v="Electric Kettle"/>
    <n v="2"/>
    <n v="1800"/>
    <n v="0.05"/>
    <n v="3420"/>
    <n v="821.7"/>
    <n v="403.17"/>
    <s v="First Class"/>
    <m/>
    <m/>
    <n v="3420"/>
    <n v="0.24026315789473685"/>
    <s v="Normal"/>
    <s v="Low"/>
    <x v="9"/>
    <n v="2024"/>
  </r>
  <r>
    <s v="ORD-1213"/>
    <x v="143"/>
    <s v="CUST001"/>
    <s v="Aarav Sharma"/>
    <x v="2"/>
    <x v="2"/>
    <s v="Gujarat"/>
    <s v="Surat"/>
    <x v="1"/>
    <s v="Appliances"/>
    <s v="Air Fryer"/>
    <n v="1"/>
    <n v="5500"/>
    <n v="0.2"/>
    <n v="4400"/>
    <n v="1000.11"/>
    <n v="175.43"/>
    <s v="First Class"/>
    <m/>
    <m/>
    <n v="4400"/>
    <n v="0.22729772727272726"/>
    <s v="Normal"/>
    <s v="High"/>
    <x v="9"/>
    <n v="2024"/>
  </r>
  <r>
    <s v="ORD-1214"/>
    <x v="144"/>
    <s v="CUST024"/>
    <s v="Nisha Tiwari"/>
    <x v="2"/>
    <x v="2"/>
    <s v="Gujarat"/>
    <s v="Surat"/>
    <x v="2"/>
    <s v="Women"/>
    <s v="Women Saree"/>
    <n v="5"/>
    <n v="3500"/>
    <n v="0.05"/>
    <n v="16625"/>
    <n v="2239.9899999999998"/>
    <n v="347.38"/>
    <s v="Standard Class"/>
    <m/>
    <m/>
    <n v="16625"/>
    <n v="0.13473624060150374"/>
    <s v="High Value"/>
    <s v="Low"/>
    <x v="9"/>
    <n v="2024"/>
  </r>
  <r>
    <s v="ORD-1215"/>
    <x v="145"/>
    <s v="CUST004"/>
    <s v="Sneha Verma"/>
    <x v="1"/>
    <x v="0"/>
    <s v="Karnataka"/>
    <s v="Mangaluru"/>
    <x v="2"/>
    <s v="Women"/>
    <s v="Women Shoes"/>
    <n v="4"/>
    <n v="2400"/>
    <n v="0.05"/>
    <n v="9120"/>
    <n v="1568.81"/>
    <n v="218.02"/>
    <s v="Same Day"/>
    <m/>
    <m/>
    <n v="9120"/>
    <n v="0.17201864035087719"/>
    <s v="Normal"/>
    <s v="Low"/>
    <x v="9"/>
    <n v="2024"/>
  </r>
  <r>
    <s v="ORD-1216"/>
    <x v="146"/>
    <s v="CUST008"/>
    <s v="Anita Mehta"/>
    <x v="1"/>
    <x v="1"/>
    <s v="Punjab"/>
    <s v="Ludhiana"/>
    <x v="0"/>
    <s v="Mobiles"/>
    <s v="Vivo V27"/>
    <n v="5"/>
    <n v="22000"/>
    <n v="0"/>
    <n v="110000"/>
    <n v="28980.46"/>
    <n v="140.81"/>
    <s v="First Class"/>
    <m/>
    <m/>
    <n v="110000"/>
    <n v="0.26345872727272729"/>
    <s v="High Value"/>
    <s v="No Discount"/>
    <x v="9"/>
    <n v="2024"/>
  </r>
  <r>
    <s v="ORD-1217"/>
    <x v="141"/>
    <s v="CUST010"/>
    <s v="Pooja Reddy"/>
    <x v="2"/>
    <x v="1"/>
    <s v="Delhi"/>
    <s v="New Delhi"/>
    <x v="1"/>
    <s v="Appliances"/>
    <s v="Induction Cooktop"/>
    <n v="5"/>
    <n v="4000"/>
    <n v="0"/>
    <n v="20000"/>
    <n v="4933.12"/>
    <n v="362.56"/>
    <s v="Same Day"/>
    <m/>
    <m/>
    <n v="20000"/>
    <n v="0.24665599999999999"/>
    <s v="High Value"/>
    <s v="No Discount"/>
    <x v="9"/>
    <n v="2024"/>
  </r>
  <r>
    <s v="ORD-1218"/>
    <x v="142"/>
    <s v="CUST020"/>
    <s v="Geeta Mishra"/>
    <x v="1"/>
    <x v="3"/>
    <s v="Odisha"/>
    <s v="Cuttack"/>
    <x v="0"/>
    <s v="Accessories"/>
    <s v="Wireless Earbuds"/>
    <n v="1"/>
    <n v="3500"/>
    <n v="0.15"/>
    <n v="2975"/>
    <n v="826.34"/>
    <n v="439.93"/>
    <s v="Second Class"/>
    <m/>
    <m/>
    <n v="2975"/>
    <n v="0.27776134453781515"/>
    <s v="Normal"/>
    <s v="High"/>
    <x v="9"/>
    <n v="2024"/>
  </r>
  <r>
    <s v="ORD-1219"/>
    <x v="147"/>
    <s v="CUST025"/>
    <s v="Aditya Bhatt"/>
    <x v="2"/>
    <x v="3"/>
    <s v="Odisha"/>
    <s v="Bhubaneswar"/>
    <x v="1"/>
    <s v="Furniture"/>
    <s v="Bookshelf"/>
    <n v="5"/>
    <n v="4500"/>
    <n v="0"/>
    <n v="22500"/>
    <n v="2641.54"/>
    <n v="176.43"/>
    <s v="Same Day"/>
    <m/>
    <m/>
    <n v="22500"/>
    <n v="0.11740177777777777"/>
    <s v="High Value"/>
    <s v="No Discount"/>
    <x v="9"/>
    <n v="2024"/>
  </r>
  <r>
    <s v="ORD-1220"/>
    <x v="148"/>
    <s v="CUST024"/>
    <s v="Nisha Tiwari"/>
    <x v="2"/>
    <x v="2"/>
    <s v="Rajasthan"/>
    <s v="Jaipur"/>
    <x v="1"/>
    <s v="Appliances"/>
    <s v="Induction Cooktop"/>
    <n v="1"/>
    <n v="4000"/>
    <n v="0"/>
    <n v="4000"/>
    <n v="733.16"/>
    <n v="283.31"/>
    <s v="Same Day"/>
    <m/>
    <m/>
    <n v="4000"/>
    <n v="0.18328999999999998"/>
    <s v="Normal"/>
    <s v="No Discount"/>
    <x v="9"/>
    <n v="2024"/>
  </r>
  <r>
    <s v="ORD-1221"/>
    <x v="149"/>
    <s v="CUST010"/>
    <s v="Pooja Reddy"/>
    <x v="0"/>
    <x v="1"/>
    <s v="Uttar Pradesh"/>
    <s v="Kanpur"/>
    <x v="2"/>
    <s v="Men"/>
    <s v="Men Jeans"/>
    <n v="3"/>
    <n v="2500"/>
    <n v="0.15"/>
    <n v="6375"/>
    <n v="1769.86"/>
    <n v="222.23"/>
    <s v="Second Class"/>
    <m/>
    <m/>
    <n v="6375"/>
    <n v="0.27762509803921565"/>
    <s v="Normal"/>
    <s v="High"/>
    <x v="9"/>
    <n v="2024"/>
  </r>
  <r>
    <s v="ORD-1222"/>
    <x v="150"/>
    <s v="CUST019"/>
    <s v="Manoj Das"/>
    <x v="0"/>
    <x v="0"/>
    <s v="Telangana"/>
    <s v="Warangal"/>
    <x v="1"/>
    <s v="Appliances"/>
    <s v="Induction Cooktop"/>
    <n v="5"/>
    <n v="4000"/>
    <n v="0"/>
    <n v="20000"/>
    <n v="2418.85"/>
    <n v="103.71"/>
    <s v="Standard Class"/>
    <m/>
    <m/>
    <n v="20000"/>
    <n v="0.12094249999999999"/>
    <s v="High Value"/>
    <s v="No Discount"/>
    <x v="9"/>
    <n v="2024"/>
  </r>
  <r>
    <s v="ORD-1223"/>
    <x v="151"/>
    <s v="CUST008"/>
    <s v="Anita Mehta"/>
    <x v="1"/>
    <x v="3"/>
    <s v="Bihar"/>
    <s v="Gaya"/>
    <x v="1"/>
    <s v="Furniture"/>
    <s v="Bookshelf"/>
    <n v="1"/>
    <n v="4500"/>
    <n v="0"/>
    <n v="4500"/>
    <n v="913.38"/>
    <n v="110.15"/>
    <s v="First Class"/>
    <m/>
    <m/>
    <n v="4500"/>
    <n v="0.20297333333333334"/>
    <s v="Normal"/>
    <s v="No Discount"/>
    <x v="9"/>
    <n v="2024"/>
  </r>
  <r>
    <s v="ORD-1224"/>
    <x v="138"/>
    <s v="CUST021"/>
    <s v="Karan Oberoi"/>
    <x v="1"/>
    <x v="0"/>
    <s v="Telangana"/>
    <s v="Warangal"/>
    <x v="1"/>
    <s v="Decor"/>
    <s v="Cushion Set"/>
    <n v="4"/>
    <n v="1200"/>
    <n v="0"/>
    <n v="4800"/>
    <n v="751.53"/>
    <n v="416.86"/>
    <s v="Standard Class"/>
    <m/>
    <m/>
    <n v="4800"/>
    <n v="0.15656875000000001"/>
    <s v="Normal"/>
    <s v="No Discount"/>
    <x v="9"/>
    <n v="2024"/>
  </r>
  <r>
    <s v="ORD-1225"/>
    <x v="140"/>
    <s v="CUST022"/>
    <s v="Shruti Agarwal"/>
    <x v="1"/>
    <x v="2"/>
    <s v="Rajasthan"/>
    <s v="Jodhpur"/>
    <x v="0"/>
    <s v="Laptops"/>
    <s v="Dell Inspiron"/>
    <n v="5"/>
    <n v="55000"/>
    <n v="0.05"/>
    <n v="261250"/>
    <n v="69233.39"/>
    <n v="455.34"/>
    <s v="First Class"/>
    <m/>
    <m/>
    <n v="261250"/>
    <n v="0.26500819138755982"/>
    <s v="High Value"/>
    <s v="Low"/>
    <x v="9"/>
    <n v="2024"/>
  </r>
  <r>
    <s v="ORD-1226"/>
    <x v="148"/>
    <s v="CUST010"/>
    <s v="Pooja Reddy"/>
    <x v="1"/>
    <x v="2"/>
    <s v="Gujarat"/>
    <s v="Ahmedabad"/>
    <x v="1"/>
    <s v="Furniture"/>
    <s v="Sofa"/>
    <n v="2"/>
    <n v="25000"/>
    <n v="0.2"/>
    <n v="40000"/>
    <n v="3503.39"/>
    <n v="361.37"/>
    <s v="Standard Class"/>
    <m/>
    <m/>
    <n v="40000"/>
    <n v="8.7584750000000003E-2"/>
    <s v="High Value"/>
    <s v="High"/>
    <x v="9"/>
    <n v="2024"/>
  </r>
  <r>
    <s v="ORD-1227"/>
    <x v="142"/>
    <s v="CUST023"/>
    <s v="Ravi Shankar"/>
    <x v="2"/>
    <x v="3"/>
    <s v="West Bengal"/>
    <s v="Kolkata"/>
    <x v="2"/>
    <s v="Women"/>
    <s v="Women Dress"/>
    <n v="3"/>
    <n v="2200"/>
    <n v="0"/>
    <n v="6600"/>
    <n v="625.89"/>
    <n v="371.99"/>
    <s v="First Class"/>
    <m/>
    <m/>
    <n v="6600"/>
    <n v="9.4831818181818184E-2"/>
    <s v="Normal"/>
    <s v="No Discount"/>
    <x v="9"/>
    <n v="2024"/>
  </r>
  <r>
    <s v="ORD-1228"/>
    <x v="152"/>
    <s v="CUST006"/>
    <s v="Kavya Nair"/>
    <x v="1"/>
    <x v="2"/>
    <s v="Gujarat"/>
    <s v="Surat"/>
    <x v="0"/>
    <s v="Accessories"/>
    <s v="Bluetooth Speaker"/>
    <n v="2"/>
    <n v="4500"/>
    <n v="0.1"/>
    <n v="8100"/>
    <n v="1221.3900000000001"/>
    <n v="483.39"/>
    <s v="Second Class"/>
    <m/>
    <m/>
    <n v="8100"/>
    <n v="0.15078888888888889"/>
    <s v="Normal"/>
    <s v="Medium"/>
    <x v="9"/>
    <n v="2024"/>
  </r>
  <r>
    <s v="ORD-1229"/>
    <x v="153"/>
    <s v="CUST023"/>
    <s v="Ravi Shankar"/>
    <x v="2"/>
    <x v="2"/>
    <s v="Rajasthan"/>
    <s v="Jodhpur"/>
    <x v="1"/>
    <s v="Appliances"/>
    <s v="Toaster"/>
    <n v="5"/>
    <n v="2200"/>
    <n v="0.2"/>
    <n v="8800"/>
    <n v="1844.44"/>
    <n v="147.99"/>
    <s v="Standard Class"/>
    <m/>
    <m/>
    <n v="8800"/>
    <n v="0.20959545454545456"/>
    <s v="Normal"/>
    <s v="High"/>
    <x v="9"/>
    <n v="2024"/>
  </r>
  <r>
    <s v="ORD-1230"/>
    <x v="154"/>
    <s v="CUST021"/>
    <s v="Karan Oberoi"/>
    <x v="0"/>
    <x v="3"/>
    <s v="Odisha"/>
    <s v="Bhubaneswar"/>
    <x v="0"/>
    <s v="Mobiles"/>
    <s v="Redmi Note 12"/>
    <n v="5"/>
    <n v="18000"/>
    <n v="0"/>
    <n v="90000"/>
    <n v="17792.75"/>
    <n v="191.15"/>
    <s v="Standard Class"/>
    <m/>
    <m/>
    <n v="90000"/>
    <n v="0.19769722222222222"/>
    <s v="High Value"/>
    <s v="No Discount"/>
    <x v="9"/>
    <n v="2024"/>
  </r>
  <r>
    <s v="ORD-1231"/>
    <x v="155"/>
    <s v="CUST023"/>
    <s v="Ravi Shankar"/>
    <x v="0"/>
    <x v="2"/>
    <s v="Rajasthan"/>
    <s v="Jodhpur"/>
    <x v="0"/>
    <s v="Laptops"/>
    <s v="Asus VivoBook"/>
    <n v="3"/>
    <n v="42000"/>
    <n v="0.05"/>
    <n v="119700"/>
    <n v="28875.21"/>
    <n v="472.1"/>
    <s v="Same Day"/>
    <m/>
    <m/>
    <n v="119700"/>
    <n v="0.24122982456140349"/>
    <s v="High Value"/>
    <s v="Low"/>
    <x v="10"/>
    <n v="2024"/>
  </r>
  <r>
    <s v="ORD-1232"/>
    <x v="156"/>
    <s v="CUST012"/>
    <s v="Meera Iyer"/>
    <x v="2"/>
    <x v="2"/>
    <s v="Maharashtra"/>
    <s v="Nagpur"/>
    <x v="2"/>
    <s v="Men"/>
    <s v="Men Shirt"/>
    <n v="5"/>
    <n v="1200"/>
    <n v="0"/>
    <n v="6000"/>
    <n v="520.78"/>
    <n v="472.72"/>
    <s v="Same Day"/>
    <m/>
    <m/>
    <n v="6000"/>
    <n v="8.6796666666666661E-2"/>
    <s v="Normal"/>
    <s v="No Discount"/>
    <x v="10"/>
    <n v="2024"/>
  </r>
  <r>
    <s v="ORD-1233"/>
    <x v="157"/>
    <s v="CUST010"/>
    <s v="Pooja Reddy"/>
    <x v="0"/>
    <x v="3"/>
    <s v="Bihar"/>
    <s v="Patna"/>
    <x v="0"/>
    <s v="Mobiles"/>
    <s v="Samsung S23"/>
    <n v="2"/>
    <n v="55000"/>
    <n v="0"/>
    <n v="110000"/>
    <n v="21330.62"/>
    <n v="275.77999999999997"/>
    <s v="First Class"/>
    <m/>
    <m/>
    <n v="110000"/>
    <n v="0.19391472727272727"/>
    <s v="High Value"/>
    <s v="No Discount"/>
    <x v="10"/>
    <n v="2024"/>
  </r>
  <r>
    <s v="ORD-1234"/>
    <x v="158"/>
    <s v="CUST012"/>
    <s v="Meera Iyer"/>
    <x v="2"/>
    <x v="0"/>
    <s v="Tamil Nadu"/>
    <s v="Madurai"/>
    <x v="2"/>
    <s v="Kids"/>
    <s v="School Bag"/>
    <n v="3"/>
    <n v="1500"/>
    <n v="0.05"/>
    <n v="4275"/>
    <n v="1054.02"/>
    <n v="480.07"/>
    <s v="Same Day"/>
    <m/>
    <m/>
    <n v="4275"/>
    <n v="0.24655438596491228"/>
    <s v="Normal"/>
    <s v="Low"/>
    <x v="10"/>
    <n v="2024"/>
  </r>
  <r>
    <s v="ORD-1235"/>
    <x v="159"/>
    <s v="CUST017"/>
    <s v="Arjun Malhotra"/>
    <x v="2"/>
    <x v="1"/>
    <s v="Delhi"/>
    <s v="Rohini"/>
    <x v="2"/>
    <s v="Women"/>
    <s v="Women Saree"/>
    <n v="1"/>
    <n v="3500"/>
    <n v="0"/>
    <n v="3500"/>
    <n v="892.04"/>
    <n v="403.49"/>
    <s v="First Class"/>
    <m/>
    <m/>
    <n v="3500"/>
    <n v="0.25486857142857144"/>
    <s v="Normal"/>
    <s v="No Discount"/>
    <x v="10"/>
    <n v="2024"/>
  </r>
  <r>
    <s v="ORD-1236"/>
    <x v="160"/>
    <s v="CUST016"/>
    <s v="Sunita Pandey"/>
    <x v="1"/>
    <x v="2"/>
    <s v="Rajasthan"/>
    <s v="Jaipur"/>
    <x v="0"/>
    <s v="Laptops"/>
    <s v="Dell Inspiron"/>
    <n v="1"/>
    <n v="55000"/>
    <n v="0"/>
    <n v="55000"/>
    <n v="6602.51"/>
    <n v="151.53"/>
    <s v="Same Day"/>
    <m/>
    <m/>
    <n v="55000"/>
    <n v="0.12004563636363637"/>
    <s v="High Value"/>
    <s v="No Discount"/>
    <x v="10"/>
    <n v="2024"/>
  </r>
  <r>
    <s v="ORD-1237"/>
    <x v="156"/>
    <s v="CUST025"/>
    <s v="Aditya Bhatt"/>
    <x v="0"/>
    <x v="2"/>
    <s v="Gujarat"/>
    <s v="Surat"/>
    <x v="1"/>
    <s v="Appliances"/>
    <s v="Toaster"/>
    <n v="1"/>
    <n v="2200"/>
    <n v="0.05"/>
    <n v="2090"/>
    <n v="553.77"/>
    <n v="431.79"/>
    <s v="Same Day"/>
    <m/>
    <m/>
    <n v="2090"/>
    <n v="0.26496172248803829"/>
    <s v="Normal"/>
    <s v="Low"/>
    <x v="10"/>
    <n v="2024"/>
  </r>
  <r>
    <s v="ORD-1238"/>
    <x v="160"/>
    <s v="CUST016"/>
    <s v="Sunita Pandey"/>
    <x v="1"/>
    <x v="0"/>
    <s v="Telangana"/>
    <s v="Warangal"/>
    <x v="1"/>
    <s v="Furniture"/>
    <s v="Bookshelf"/>
    <n v="5"/>
    <n v="4500"/>
    <n v="0"/>
    <n v="22500"/>
    <n v="2047.15"/>
    <n v="224.14"/>
    <s v="Second Class"/>
    <m/>
    <m/>
    <n v="22500"/>
    <n v="9.0984444444444451E-2"/>
    <s v="High Value"/>
    <s v="No Discount"/>
    <x v="10"/>
    <n v="2024"/>
  </r>
  <r>
    <s v="ORD-1239"/>
    <x v="161"/>
    <s v="CUST019"/>
    <s v="Manoj Das"/>
    <x v="2"/>
    <x v="0"/>
    <s v="Karnataka"/>
    <s v="Mysuru"/>
    <x v="1"/>
    <s v="Furniture"/>
    <s v="Office Chair"/>
    <n v="1"/>
    <n v="8500"/>
    <n v="0"/>
    <n v="8500"/>
    <n v="1452.35"/>
    <n v="377.84"/>
    <s v="Standard Class"/>
    <m/>
    <m/>
    <n v="8500"/>
    <n v="0.17086470588235292"/>
    <s v="Normal"/>
    <s v="No Discount"/>
    <x v="10"/>
    <n v="2024"/>
  </r>
  <r>
    <s v="ORD-1240"/>
    <x v="162"/>
    <s v="CUST021"/>
    <s v="Karan Oberoi"/>
    <x v="1"/>
    <x v="2"/>
    <s v="Rajasthan"/>
    <s v="Jaipur"/>
    <x v="0"/>
    <s v="Mobiles"/>
    <s v="Samsung S23"/>
    <n v="1"/>
    <n v="55000"/>
    <n v="0.15"/>
    <n v="46750"/>
    <n v="10253.43"/>
    <n v="226.28"/>
    <s v="Second Class"/>
    <m/>
    <m/>
    <n v="46750"/>
    <n v="0.21932470588235295"/>
    <s v="High Value"/>
    <s v="High"/>
    <x v="10"/>
    <n v="2024"/>
  </r>
  <r>
    <s v="ORD-1241"/>
    <x v="159"/>
    <s v="CUST004"/>
    <s v="Sneha Verma"/>
    <x v="2"/>
    <x v="1"/>
    <s v="Uttar Pradesh"/>
    <s v="Kanpur"/>
    <x v="1"/>
    <s v="Decor"/>
    <s v="Wall Clock"/>
    <n v="1"/>
    <n v="1500"/>
    <n v="0.1"/>
    <n v="1350"/>
    <n v="123.68"/>
    <n v="420.62"/>
    <s v="Second Class"/>
    <m/>
    <m/>
    <n v="1350"/>
    <n v="9.1614814814814816E-2"/>
    <s v="Normal"/>
    <s v="Medium"/>
    <x v="10"/>
    <n v="2024"/>
  </r>
  <r>
    <s v="ORD-1242"/>
    <x v="162"/>
    <s v="CUST011"/>
    <s v="Rahul Tiwari"/>
    <x v="0"/>
    <x v="1"/>
    <s v="Punjab"/>
    <s v="Chandigarh"/>
    <x v="1"/>
    <s v="Decor"/>
    <s v="Table Lamp"/>
    <n v="1"/>
    <n v="1800"/>
    <n v="0"/>
    <n v="1800"/>
    <n v="260.02999999999997"/>
    <n v="72.349999999999994"/>
    <s v="Standard Class"/>
    <m/>
    <m/>
    <n v="1800"/>
    <n v="0.1444611111111111"/>
    <s v="Normal"/>
    <s v="No Discount"/>
    <x v="10"/>
    <n v="2024"/>
  </r>
  <r>
    <s v="ORD-1243"/>
    <x v="163"/>
    <s v="CUST016"/>
    <s v="Sunita Pandey"/>
    <x v="2"/>
    <x v="2"/>
    <s v="Gujarat"/>
    <s v="Surat"/>
    <x v="1"/>
    <s v="Appliances"/>
    <s v="Mixer Grinder"/>
    <n v="2"/>
    <n v="3200"/>
    <n v="0.1"/>
    <n v="5760"/>
    <n v="1220.6199999999999"/>
    <n v="172.24"/>
    <s v="Same Day"/>
    <m/>
    <m/>
    <n v="5760"/>
    <n v="0.21191319444444442"/>
    <s v="Normal"/>
    <s v="Medium"/>
    <x v="10"/>
    <n v="2024"/>
  </r>
  <r>
    <s v="ORD-1244"/>
    <x v="162"/>
    <s v="CUST012"/>
    <s v="Meera Iyer"/>
    <x v="2"/>
    <x v="1"/>
    <s v="Delhi"/>
    <s v="Dwarka"/>
    <x v="1"/>
    <s v="Furniture"/>
    <s v="Study Table"/>
    <n v="4"/>
    <n v="6000"/>
    <n v="0.15"/>
    <n v="20400"/>
    <n v="2311.0300000000002"/>
    <n v="387.67"/>
    <s v="First Class"/>
    <m/>
    <m/>
    <n v="20400"/>
    <n v="0.1132857843137255"/>
    <s v="High Value"/>
    <s v="High"/>
    <x v="10"/>
    <n v="2024"/>
  </r>
  <r>
    <s v="ORD-1245"/>
    <x v="163"/>
    <s v="CUST018"/>
    <s v="Riya Kapoor"/>
    <x v="1"/>
    <x v="0"/>
    <s v="Telangana"/>
    <s v="Hyderabad"/>
    <x v="1"/>
    <s v="Furniture"/>
    <s v="Bookshelf"/>
    <n v="4"/>
    <n v="4500"/>
    <n v="0.15"/>
    <n v="15300"/>
    <n v="2497.4299999999998"/>
    <n v="309.48"/>
    <s v="Same Day"/>
    <m/>
    <m/>
    <n v="15300"/>
    <n v="0.16323071895424834"/>
    <s v="High Value"/>
    <s v="High"/>
    <x v="10"/>
    <n v="2024"/>
  </r>
  <r>
    <s v="ORD-1246"/>
    <x v="164"/>
    <s v="CUST020"/>
    <s v="Geeta Mishra"/>
    <x v="1"/>
    <x v="2"/>
    <s v="Rajasthan"/>
    <s v="Jaipur"/>
    <x v="1"/>
    <s v="Appliances"/>
    <s v="Air Fryer"/>
    <n v="4"/>
    <n v="5500"/>
    <n v="0.15"/>
    <n v="18700"/>
    <n v="4901.66"/>
    <n v="140.41999999999999"/>
    <s v="Second Class"/>
    <m/>
    <m/>
    <n v="18700"/>
    <n v="0.26212085561497328"/>
    <s v="High Value"/>
    <s v="High"/>
    <x v="10"/>
    <n v="2024"/>
  </r>
  <r>
    <s v="ORD-1247"/>
    <x v="157"/>
    <s v="CUST016"/>
    <s v="Sunita Pandey"/>
    <x v="1"/>
    <x v="3"/>
    <s v="West Bengal"/>
    <s v="Asansol"/>
    <x v="2"/>
    <s v="Kids"/>
    <s v="Kids Jacket"/>
    <n v="1"/>
    <n v="1800"/>
    <n v="0"/>
    <n v="1800"/>
    <n v="287.43"/>
    <n v="335.05"/>
    <s v="Standard Class"/>
    <m/>
    <m/>
    <n v="1800"/>
    <n v="0.15968333333333334"/>
    <s v="Normal"/>
    <s v="No Discount"/>
    <x v="10"/>
    <n v="2024"/>
  </r>
  <r>
    <s v="ORD-1248"/>
    <x v="165"/>
    <s v="CUST018"/>
    <s v="Riya Kapoor"/>
    <x v="1"/>
    <x v="3"/>
    <s v="Odisha"/>
    <s v="Bhubaneswar"/>
    <x v="1"/>
    <s v="Furniture"/>
    <s v="Study Table"/>
    <n v="1"/>
    <n v="6000"/>
    <n v="0.15"/>
    <n v="5100"/>
    <n v="778.73"/>
    <n v="190.85"/>
    <s v="First Class"/>
    <m/>
    <m/>
    <n v="5100"/>
    <n v="0.15269215686274509"/>
    <s v="Normal"/>
    <s v="High"/>
    <x v="10"/>
    <n v="2024"/>
  </r>
  <r>
    <s v="ORD-1249"/>
    <x v="166"/>
    <s v="CUST006"/>
    <s v="Kavya Nair"/>
    <x v="0"/>
    <x v="2"/>
    <s v="Rajasthan"/>
    <s v="Jodhpur"/>
    <x v="2"/>
    <s v="Women"/>
    <s v="Women Blazer"/>
    <n v="2"/>
    <n v="3200"/>
    <n v="0.05"/>
    <n v="6080"/>
    <n v="1019.16"/>
    <n v="169.12"/>
    <s v="Standard Class"/>
    <m/>
    <m/>
    <n v="6080"/>
    <n v="0.167625"/>
    <s v="Normal"/>
    <s v="Low"/>
    <x v="10"/>
    <n v="2024"/>
  </r>
  <r>
    <s v="ORD-1250"/>
    <x v="161"/>
    <s v="CUST003"/>
    <s v="Rohit Kumar"/>
    <x v="0"/>
    <x v="2"/>
    <s v="Maharashtra"/>
    <s v="Pune"/>
    <x v="1"/>
    <s v="Appliances"/>
    <s v="Induction Cooktop"/>
    <n v="3"/>
    <n v="4000"/>
    <n v="0"/>
    <n v="12000"/>
    <n v="1567.16"/>
    <n v="468.3"/>
    <s v="First Class"/>
    <m/>
    <m/>
    <n v="12000"/>
    <n v="0.13059666666666667"/>
    <s v="High Value"/>
    <s v="No Discount"/>
    <x v="10"/>
    <n v="2024"/>
  </r>
  <r>
    <s v="ORD-1251"/>
    <x v="167"/>
    <s v="CUST007"/>
    <s v="Deepak Gupta"/>
    <x v="1"/>
    <x v="0"/>
    <s v="Tamil Nadu"/>
    <s v="Coimbatore"/>
    <x v="1"/>
    <s v="Decor"/>
    <s v="Cushion Set"/>
    <n v="5"/>
    <n v="1200"/>
    <n v="0.05"/>
    <n v="5700"/>
    <n v="719.1"/>
    <n v="165.93"/>
    <s v="First Class"/>
    <m/>
    <m/>
    <n v="5700"/>
    <n v="0.12615789473684211"/>
    <s v="Normal"/>
    <s v="Low"/>
    <x v="10"/>
    <n v="2024"/>
  </r>
  <r>
    <s v="ORD-1252"/>
    <x v="156"/>
    <s v="CUST023"/>
    <s v="Ravi Shankar"/>
    <x v="2"/>
    <x v="3"/>
    <s v="Bihar"/>
    <s v="Gaya"/>
    <x v="2"/>
    <s v="Kids"/>
    <s v="Kids Jeans"/>
    <n v="3"/>
    <n v="1200"/>
    <n v="0.1"/>
    <n v="3240"/>
    <n v="533.66"/>
    <n v="345.18"/>
    <s v="First Class"/>
    <m/>
    <m/>
    <n v="3240"/>
    <n v="0.16470987654320987"/>
    <s v="Normal"/>
    <s v="Medium"/>
    <x v="10"/>
    <n v="2024"/>
  </r>
  <r>
    <s v="ORD-1253"/>
    <x v="168"/>
    <s v="CUST009"/>
    <s v="Vikram Joshi"/>
    <x v="2"/>
    <x v="0"/>
    <s v="Tamil Nadu"/>
    <s v="Chennai"/>
    <x v="2"/>
    <s v="Women"/>
    <s v="Women Blazer"/>
    <n v="4"/>
    <n v="3200"/>
    <n v="0"/>
    <n v="12800"/>
    <n v="2109.42"/>
    <n v="184.13"/>
    <s v="Same Day"/>
    <m/>
    <m/>
    <n v="12800"/>
    <n v="0.16479843750000001"/>
    <s v="High Value"/>
    <s v="No Discount"/>
    <x v="11"/>
    <n v="2024"/>
  </r>
  <r>
    <s v="ORD-1254"/>
    <x v="169"/>
    <s v="CUST019"/>
    <s v="Manoj Das"/>
    <x v="1"/>
    <x v="0"/>
    <s v="Tamil Nadu"/>
    <s v="Chennai"/>
    <x v="1"/>
    <s v="Appliances"/>
    <s v="Electric Kettle"/>
    <n v="1"/>
    <n v="1800"/>
    <n v="0.1"/>
    <n v="1620"/>
    <n v="254.99"/>
    <n v="328.07"/>
    <s v="First Class"/>
    <m/>
    <m/>
    <n v="1620"/>
    <n v="0.15740123456790123"/>
    <s v="Normal"/>
    <s v="Medium"/>
    <x v="11"/>
    <n v="2024"/>
  </r>
  <r>
    <s v="ORD-1255"/>
    <x v="168"/>
    <s v="CUST009"/>
    <s v="Vikram Joshi"/>
    <x v="2"/>
    <x v="0"/>
    <s v="Karnataka"/>
    <s v="Mangaluru"/>
    <x v="2"/>
    <s v="Men"/>
    <s v="Men Shirt"/>
    <n v="5"/>
    <n v="1200"/>
    <n v="0"/>
    <n v="6000"/>
    <n v="1056.22"/>
    <n v="359.28"/>
    <s v="Standard Class"/>
    <m/>
    <m/>
    <n v="6000"/>
    <n v="0.17603666666666667"/>
    <s v="Normal"/>
    <s v="No Discount"/>
    <x v="11"/>
    <n v="2024"/>
  </r>
  <r>
    <s v="ORD-1256"/>
    <x v="169"/>
    <s v="CUST012"/>
    <s v="Meera Iyer"/>
    <x v="2"/>
    <x v="2"/>
    <s v="Gujarat"/>
    <s v="Surat"/>
    <x v="2"/>
    <s v="Kids"/>
    <s v="Kids Jeans"/>
    <n v="4"/>
    <n v="1200"/>
    <n v="0.1"/>
    <n v="4320"/>
    <n v="738.91"/>
    <n v="239.33"/>
    <s v="Standard Class"/>
    <m/>
    <m/>
    <n v="4320"/>
    <n v="0.17104398148148148"/>
    <s v="Normal"/>
    <s v="Medium"/>
    <x v="11"/>
    <n v="2024"/>
  </r>
  <r>
    <s v="ORD-1257"/>
    <x v="170"/>
    <s v="CUST004"/>
    <s v="Sneha Verma"/>
    <x v="2"/>
    <x v="3"/>
    <s v="Bihar"/>
    <s v="Gaya"/>
    <x v="1"/>
    <s v="Appliances"/>
    <s v="Air Fryer"/>
    <n v="4"/>
    <n v="5500"/>
    <n v="0"/>
    <n v="22000"/>
    <n v="5758.01"/>
    <n v="220.82"/>
    <s v="Standard Class"/>
    <m/>
    <m/>
    <n v="22000"/>
    <n v="0.26172772727272731"/>
    <s v="High Value"/>
    <s v="No Discount"/>
    <x v="11"/>
    <n v="2024"/>
  </r>
  <r>
    <s v="ORD-1258"/>
    <x v="171"/>
    <s v="CUST001"/>
    <s v="Aarav Sharma"/>
    <x v="2"/>
    <x v="3"/>
    <s v="West Bengal"/>
    <s v="Kolkata"/>
    <x v="1"/>
    <s v="Appliances"/>
    <s v="Air Fryer"/>
    <n v="5"/>
    <n v="5500"/>
    <n v="0.1"/>
    <n v="24750"/>
    <n v="4934.63"/>
    <n v="51.72"/>
    <s v="First Class"/>
    <m/>
    <m/>
    <n v="24750"/>
    <n v="0.19937898989898992"/>
    <s v="High Value"/>
    <s v="Medium"/>
    <x v="11"/>
    <n v="2024"/>
  </r>
  <r>
    <s v="ORD-1259"/>
    <x v="172"/>
    <s v="CUST021"/>
    <s v="Karan Oberoi"/>
    <x v="1"/>
    <x v="0"/>
    <s v="Karnataka"/>
    <s v="Mangaluru"/>
    <x v="1"/>
    <s v="Decor"/>
    <s v="Cushion Set"/>
    <n v="3"/>
    <n v="1200"/>
    <n v="0.2"/>
    <n v="2880"/>
    <n v="764.18"/>
    <n v="409.96"/>
    <s v="Second Class"/>
    <m/>
    <m/>
    <n v="2880"/>
    <n v="0.26534027777777774"/>
    <s v="Normal"/>
    <s v="High"/>
    <x v="11"/>
    <n v="2024"/>
  </r>
  <r>
    <s v="ORD-1260"/>
    <x v="173"/>
    <s v="CUST005"/>
    <s v="Amit Singh"/>
    <x v="0"/>
    <x v="1"/>
    <s v="Delhi"/>
    <s v="Rohini"/>
    <x v="1"/>
    <s v="Decor"/>
    <s v="Cushion Set"/>
    <n v="4"/>
    <n v="1200"/>
    <n v="0.2"/>
    <n v="3840"/>
    <n v="845.21"/>
    <n v="499.5"/>
    <s v="First Class"/>
    <m/>
    <m/>
    <n v="3840"/>
    <n v="0.22010677083333335"/>
    <s v="Normal"/>
    <s v="High"/>
    <x v="11"/>
    <n v="2024"/>
  </r>
  <r>
    <s v="ORD-1261"/>
    <x v="169"/>
    <s v="CUST017"/>
    <s v="Arjun Malhotra"/>
    <x v="1"/>
    <x v="0"/>
    <s v="Tamil Nadu"/>
    <s v="Coimbatore"/>
    <x v="1"/>
    <s v="Decor"/>
    <s v="Wall Clock"/>
    <n v="1"/>
    <n v="1500"/>
    <n v="0"/>
    <n v="1500"/>
    <n v="339.67"/>
    <n v="347.38"/>
    <s v="Second Class"/>
    <m/>
    <m/>
    <n v="1500"/>
    <n v="0.22644666666666668"/>
    <s v="Normal"/>
    <s v="No Discount"/>
    <x v="11"/>
    <n v="2024"/>
  </r>
  <r>
    <s v="ORD-1262"/>
    <x v="174"/>
    <s v="CUST025"/>
    <s v="Aditya Bhatt"/>
    <x v="0"/>
    <x v="0"/>
    <s v="Karnataka"/>
    <s v="Mysuru"/>
    <x v="2"/>
    <s v="Men"/>
    <s v="Men Kurta"/>
    <n v="3"/>
    <n v="1500"/>
    <n v="0"/>
    <n v="4500"/>
    <n v="648.27"/>
    <n v="126.49"/>
    <s v="Same Day"/>
    <m/>
    <m/>
    <n v="4500"/>
    <n v="0.14405999999999999"/>
    <s v="Normal"/>
    <s v="No Discount"/>
    <x v="11"/>
    <n v="2024"/>
  </r>
  <r>
    <s v="ORD-1263"/>
    <x v="170"/>
    <s v="CUST013"/>
    <s v="Sanjay Yadav"/>
    <x v="1"/>
    <x v="3"/>
    <s v="West Bengal"/>
    <s v="Kolkata"/>
    <x v="0"/>
    <s v="Accessories"/>
    <s v="Power Bank"/>
    <n v="3"/>
    <n v="1200"/>
    <n v="0"/>
    <n v="3600"/>
    <n v="650.09"/>
    <n v="199.43"/>
    <s v="Second Class"/>
    <m/>
    <m/>
    <n v="3600"/>
    <n v="0.18058055555555558"/>
    <s v="Normal"/>
    <s v="No Discount"/>
    <x v="11"/>
    <n v="2024"/>
  </r>
  <r>
    <s v="ORD-1264"/>
    <x v="175"/>
    <s v="CUST024"/>
    <s v="Nisha Tiwari"/>
    <x v="2"/>
    <x v="3"/>
    <s v="Odisha"/>
    <s v="Cuttack"/>
    <x v="0"/>
    <s v="Accessories"/>
    <s v="Power Bank"/>
    <n v="1"/>
    <n v="1200"/>
    <n v="0.2"/>
    <n v="960"/>
    <n v="250.1"/>
    <n v="336.95"/>
    <s v="Second Class"/>
    <m/>
    <m/>
    <n v="960"/>
    <n v="0.26052083333333331"/>
    <s v="Normal"/>
    <s v="High"/>
    <x v="11"/>
    <n v="2024"/>
  </r>
  <r>
    <s v="ORD-1265"/>
    <x v="176"/>
    <s v="CUST015"/>
    <s v="Nikhil Bose"/>
    <x v="2"/>
    <x v="2"/>
    <s v="Gujarat"/>
    <s v="Ahmedabad"/>
    <x v="1"/>
    <s v="Appliances"/>
    <s v="Induction Cooktop"/>
    <n v="2"/>
    <n v="4000"/>
    <n v="0.1"/>
    <n v="7200"/>
    <n v="1044.5"/>
    <n v="238.34"/>
    <s v="Standard Class"/>
    <m/>
    <m/>
    <n v="7200"/>
    <n v="0.14506944444444445"/>
    <s v="Normal"/>
    <s v="Medium"/>
    <x v="11"/>
    <n v="2024"/>
  </r>
  <r>
    <s v="ORD-1266"/>
    <x v="177"/>
    <s v="CUST001"/>
    <s v="Aarav Sharma"/>
    <x v="1"/>
    <x v="2"/>
    <s v="Gujarat"/>
    <s v="Surat"/>
    <x v="0"/>
    <s v="Accessories"/>
    <s v="Wireless Earbuds"/>
    <n v="4"/>
    <n v="3500"/>
    <n v="0.1"/>
    <n v="12600"/>
    <n v="2227.46"/>
    <n v="412.63"/>
    <s v="Second Class"/>
    <m/>
    <m/>
    <n v="12600"/>
    <n v="0.17678253968253968"/>
    <s v="High Value"/>
    <s v="Medium"/>
    <x v="11"/>
    <n v="2024"/>
  </r>
  <r>
    <s v="ORD-1267"/>
    <x v="178"/>
    <s v="CUST001"/>
    <s v="Aarav Sharma"/>
    <x v="1"/>
    <x v="2"/>
    <s v="Gujarat"/>
    <s v="Vadodara"/>
    <x v="0"/>
    <s v="Mobiles"/>
    <s v="Vivo V27"/>
    <n v="2"/>
    <n v="22000"/>
    <n v="0"/>
    <n v="44000"/>
    <n v="5940.37"/>
    <n v="168"/>
    <s v="Second Class"/>
    <m/>
    <m/>
    <n v="44000"/>
    <n v="0.13500840909090908"/>
    <s v="High Value"/>
    <s v="No Discount"/>
    <x v="11"/>
    <n v="2024"/>
  </r>
  <r>
    <s v="ORD-1268"/>
    <x v="179"/>
    <s v="CUST020"/>
    <s v="Geeta Mishra"/>
    <x v="1"/>
    <x v="2"/>
    <s v="Gujarat"/>
    <s v="Vadodara"/>
    <x v="2"/>
    <s v="Kids"/>
    <s v="School Bag"/>
    <n v="5"/>
    <n v="1500"/>
    <n v="0"/>
    <n v="7500"/>
    <n v="1900.05"/>
    <n v="456.49"/>
    <s v="Same Day"/>
    <m/>
    <m/>
    <n v="7500"/>
    <n v="0.25334000000000001"/>
    <s v="Normal"/>
    <s v="No Discount"/>
    <x v="11"/>
    <n v="2024"/>
  </r>
  <r>
    <s v="ORD-1269"/>
    <x v="172"/>
    <s v="CUST025"/>
    <s v="Aditya Bhatt"/>
    <x v="1"/>
    <x v="1"/>
    <s v="Delhi"/>
    <s v="Rohini"/>
    <x v="2"/>
    <s v="Kids"/>
    <s v="School Bag"/>
    <n v="1"/>
    <n v="1500"/>
    <n v="0"/>
    <n v="1500"/>
    <n v="307.62"/>
    <n v="148.57"/>
    <s v="First Class"/>
    <m/>
    <m/>
    <n v="1500"/>
    <n v="0.20508000000000001"/>
    <s v="Normal"/>
    <s v="No Discount"/>
    <x v="11"/>
    <n v="2024"/>
  </r>
  <r>
    <s v="ORD-1270"/>
    <x v="180"/>
    <s v="CUST007"/>
    <s v="Deepak Gupta"/>
    <x v="0"/>
    <x v="2"/>
    <s v="Maharashtra"/>
    <s v="Pune"/>
    <x v="0"/>
    <s v="Laptops"/>
    <s v="MacBook Air"/>
    <n v="3"/>
    <n v="115000"/>
    <n v="0"/>
    <n v="345000"/>
    <n v="54591"/>
    <n v="376.34"/>
    <s v="Second Class"/>
    <m/>
    <m/>
    <n v="345000"/>
    <n v="0.15823478260869564"/>
    <s v="High Value"/>
    <s v="No Discount"/>
    <x v="11"/>
    <n v="2024"/>
  </r>
  <r>
    <s v="ORD-1271"/>
    <x v="168"/>
    <s v="CUST012"/>
    <s v="Meera Iyer"/>
    <x v="2"/>
    <x v="1"/>
    <s v="Delhi"/>
    <s v="Rohini"/>
    <x v="1"/>
    <s v="Furniture"/>
    <s v="Bookshelf"/>
    <n v="4"/>
    <n v="4500"/>
    <n v="0"/>
    <n v="18000"/>
    <n v="2317.84"/>
    <n v="135.18"/>
    <s v="Standard Class"/>
    <m/>
    <m/>
    <n v="18000"/>
    <n v="0.1287688888888889"/>
    <s v="High Value"/>
    <s v="No Discount"/>
    <x v="11"/>
    <n v="2024"/>
  </r>
  <r>
    <s v="ORD-1272"/>
    <x v="175"/>
    <s v="CUST004"/>
    <s v="Sneha Verma"/>
    <x v="1"/>
    <x v="1"/>
    <s v="Delhi"/>
    <s v="Rohini"/>
    <x v="1"/>
    <s v="Furniture"/>
    <s v="Study Table"/>
    <n v="4"/>
    <n v="6000"/>
    <n v="0.2"/>
    <n v="19200"/>
    <n v="4298.45"/>
    <n v="465.49"/>
    <s v="First Class"/>
    <m/>
    <m/>
    <n v="19200"/>
    <n v="0.22387760416666666"/>
    <s v="High Value"/>
    <s v="High"/>
    <x v="11"/>
    <n v="2024"/>
  </r>
  <r>
    <s v="ORD-1273"/>
    <x v="168"/>
    <s v="CUST012"/>
    <s v="Meera Iyer"/>
    <x v="1"/>
    <x v="3"/>
    <s v="Odisha"/>
    <s v="Bhubaneswar"/>
    <x v="2"/>
    <s v="Women"/>
    <s v="Women Shoes"/>
    <n v="1"/>
    <n v="2400"/>
    <n v="0"/>
    <n v="2400"/>
    <n v="615.9"/>
    <n v="371.11"/>
    <s v="Second Class"/>
    <m/>
    <m/>
    <n v="2400"/>
    <n v="0.25662499999999999"/>
    <s v="Normal"/>
    <s v="No Discount"/>
    <x v="11"/>
    <n v="2024"/>
  </r>
  <r>
    <s v="ORD-1274"/>
    <x v="181"/>
    <s v="CUST003"/>
    <s v="Rohit Kumar"/>
    <x v="2"/>
    <x v="3"/>
    <s v="Bihar"/>
    <s v="Gaya"/>
    <x v="1"/>
    <s v="Furniture"/>
    <s v="Sofa"/>
    <n v="3"/>
    <n v="25000"/>
    <n v="0"/>
    <n v="75000"/>
    <n v="13041.3"/>
    <n v="69.95"/>
    <s v="Same Day"/>
    <m/>
    <m/>
    <n v="75000"/>
    <n v="0.17388399999999998"/>
    <s v="High Value"/>
    <s v="No Discount"/>
    <x v="11"/>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206658-8C84-45E8-93EA-C40DFC0A38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5" firstHeaderRow="0" firstDataRow="1" firstDataCol="1"/>
  <pivotFields count="26">
    <pivotField showAll="0"/>
    <pivotField showAll="0"/>
    <pivotField showAll="0"/>
    <pivotField showAll="0"/>
    <pivotField showAll="0">
      <items count="5">
        <item x="1"/>
        <item x="2"/>
        <item x="0"/>
        <item x="3"/>
        <item t="default"/>
      </items>
    </pivotField>
    <pivotField showAll="0">
      <items count="6">
        <item x="3"/>
        <item h="1" x="1"/>
        <item h="1" x="0"/>
        <item h="1" x="2"/>
        <item h="1" x="4"/>
        <item t="default"/>
      </items>
    </pivotField>
    <pivotField showAll="0"/>
    <pivotField showAll="0"/>
    <pivotField axis="axisRow" showAll="0">
      <items count="5">
        <item x="0"/>
        <item x="1"/>
        <item x="2"/>
        <item x="3"/>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2"/>
  </colFields>
  <colItems count="2">
    <i>
      <x/>
    </i>
    <i i="1">
      <x v="1"/>
    </i>
  </colItems>
  <dataFields count="2">
    <dataField name="Sum of Sales_Amount" fld="14" baseField="0" baseItem="0"/>
    <dataField name="Sum of Profit" fld="15" baseField="0" baseItem="0"/>
  </dataFields>
  <formats count="2">
    <format dxfId="3">
      <pivotArea field="8" grandRow="1" outline="0" collapsedLevelsAreSubtotals="1" axis="axisRow" fieldPosition="0">
        <references count="1">
          <reference field="4294967294" count="1" selected="0">
            <x v="0"/>
          </reference>
        </references>
      </pivotArea>
    </format>
    <format dxfId="2">
      <pivotArea field="8" grandRow="1" outline="0" collapsedLevelsAreSubtotals="1" axis="axisRow" fieldPosition="0">
        <references count="1">
          <reference field="4294967294" count="1" selected="0">
            <x v="1"/>
          </reference>
        </references>
      </pivotArea>
    </format>
  </format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A87033-DB4C-4DED-9930-EB21F64D51E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E7" firstHeaderRow="1" firstDataRow="2" firstDataCol="1"/>
  <pivotFields count="26">
    <pivotField showAll="0"/>
    <pivotField showAll="0"/>
    <pivotField showAll="0"/>
    <pivotField showAll="0"/>
    <pivotField axis="axisCol" showAll="0">
      <items count="4">
        <item x="1"/>
        <item x="2"/>
        <item x="0"/>
        <item t="default"/>
      </items>
    </pivotField>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 showAll="0"/>
    <pivotField numFmtId="164" showAll="0"/>
    <pivotField numFmtId="10" showAll="0"/>
    <pivotField dataField="1" numFmtId="164" showAll="0"/>
    <pivotField numFmtId="164" showAll="0"/>
    <pivotField numFmtId="164" showAll="0"/>
    <pivotField showAll="0"/>
    <pivotField showAll="0"/>
    <pivotField showAll="0"/>
    <pivotField numFmtId="164" showAll="0"/>
    <pivotField numFmtId="10" showAll="0"/>
    <pivotField showAll="0"/>
    <pivotField showAll="0"/>
    <pivotField showAll="0"/>
    <pivotField showAll="0"/>
  </pivotFields>
  <rowFields count="1">
    <field x="5"/>
  </rowFields>
  <rowItems count="5">
    <i>
      <x v="3"/>
    </i>
    <i>
      <x v="2"/>
    </i>
    <i>
      <x v="1"/>
    </i>
    <i>
      <x/>
    </i>
    <i t="grand">
      <x/>
    </i>
  </rowItems>
  <colFields count="1">
    <field x="4"/>
  </colFields>
  <colItems count="4">
    <i>
      <x/>
    </i>
    <i>
      <x v="1"/>
    </i>
    <i>
      <x v="2"/>
    </i>
    <i t="grand">
      <x/>
    </i>
  </colItems>
  <dataFields count="1">
    <dataField name="Sum of Sales_Amount" fld="14" baseField="0" baseItem="0" numFmtId="164"/>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FCB648-CFC8-4BEF-BC80-DD7377B7EC8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4" firstHeaderRow="1" firstDataRow="1" firstDataCol="1"/>
  <pivotFields count="26">
    <pivotField showAll="0"/>
    <pivotField showAll="0" nonAutoSortDefault="1">
      <items count="183">
        <item x="4"/>
        <item x="5"/>
        <item x="1"/>
        <item x="8"/>
        <item x="6"/>
        <item x="0"/>
        <item x="9"/>
        <item x="3"/>
        <item x="10"/>
        <item x="11"/>
        <item x="12"/>
        <item x="2"/>
        <item x="7"/>
        <item x="23"/>
        <item x="18"/>
        <item x="20"/>
        <item x="21"/>
        <item x="25"/>
        <item x="14"/>
        <item x="13"/>
        <item x="15"/>
        <item x="19"/>
        <item x="22"/>
        <item x="17"/>
        <item x="16"/>
        <item x="26"/>
        <item x="27"/>
        <item x="24"/>
        <item x="28"/>
        <item x="42"/>
        <item x="33"/>
        <item x="36"/>
        <item x="44"/>
        <item x="32"/>
        <item x="39"/>
        <item x="30"/>
        <item x="45"/>
        <item x="40"/>
        <item x="29"/>
        <item x="34"/>
        <item x="43"/>
        <item x="35"/>
        <item x="37"/>
        <item x="41"/>
        <item x="31"/>
        <item x="38"/>
        <item x="58"/>
        <item x="51"/>
        <item x="56"/>
        <item x="46"/>
        <item x="55"/>
        <item x="54"/>
        <item x="53"/>
        <item x="57"/>
        <item x="48"/>
        <item x="47"/>
        <item x="61"/>
        <item x="59"/>
        <item x="60"/>
        <item x="49"/>
        <item x="50"/>
        <item x="52"/>
        <item x="68"/>
        <item x="66"/>
        <item x="62"/>
        <item x="71"/>
        <item x="64"/>
        <item x="63"/>
        <item x="73"/>
        <item x="75"/>
        <item x="74"/>
        <item x="65"/>
        <item x="69"/>
        <item x="76"/>
        <item x="70"/>
        <item x="72"/>
        <item x="67"/>
        <item x="80"/>
        <item x="89"/>
        <item x="84"/>
        <item x="82"/>
        <item x="81"/>
        <item x="90"/>
        <item x="88"/>
        <item x="87"/>
        <item x="85"/>
        <item x="79"/>
        <item x="86"/>
        <item x="78"/>
        <item x="77"/>
        <item x="83"/>
        <item x="97"/>
        <item x="106"/>
        <item x="99"/>
        <item x="103"/>
        <item x="91"/>
        <item x="98"/>
        <item x="94"/>
        <item x="92"/>
        <item x="107"/>
        <item x="101"/>
        <item x="95"/>
        <item x="100"/>
        <item x="96"/>
        <item x="105"/>
        <item x="104"/>
        <item x="93"/>
        <item x="102"/>
        <item x="110"/>
        <item x="116"/>
        <item x="123"/>
        <item x="117"/>
        <item x="119"/>
        <item x="112"/>
        <item x="115"/>
        <item x="111"/>
        <item x="121"/>
        <item x="114"/>
        <item x="113"/>
        <item x="108"/>
        <item x="118"/>
        <item x="120"/>
        <item x="109"/>
        <item x="122"/>
        <item x="136"/>
        <item x="130"/>
        <item x="125"/>
        <item x="137"/>
        <item x="128"/>
        <item x="129"/>
        <item x="127"/>
        <item x="126"/>
        <item x="134"/>
        <item x="135"/>
        <item x="132"/>
        <item x="124"/>
        <item x="133"/>
        <item x="131"/>
        <item x="145"/>
        <item x="144"/>
        <item x="151"/>
        <item x="139"/>
        <item x="142"/>
        <item x="149"/>
        <item x="143"/>
        <item x="138"/>
        <item x="150"/>
        <item x="146"/>
        <item x="140"/>
        <item x="153"/>
        <item x="147"/>
        <item x="141"/>
        <item x="148"/>
        <item x="154"/>
        <item x="152"/>
        <item x="155"/>
        <item x="167"/>
        <item x="157"/>
        <item x="161"/>
        <item x="159"/>
        <item x="162"/>
        <item x="166"/>
        <item x="164"/>
        <item x="158"/>
        <item x="156"/>
        <item x="165"/>
        <item x="160"/>
        <item x="163"/>
        <item x="179"/>
        <item x="169"/>
        <item x="168"/>
        <item x="181"/>
        <item x="180"/>
        <item x="171"/>
        <item x="173"/>
        <item x="178"/>
        <item x="175"/>
        <item x="174"/>
        <item x="177"/>
        <item x="170"/>
        <item x="176"/>
        <item x="172"/>
        <item t="default"/>
      </items>
    </pivotField>
    <pivotField showAll="0"/>
    <pivotField showAll="0"/>
    <pivotField showAll="0"/>
    <pivotField showAll="0"/>
    <pivotField showAll="0"/>
    <pivotField showAll="0"/>
    <pivotField showAll="0"/>
    <pivotField showAll="0"/>
    <pivotField showAll="0"/>
    <pivotField numFmtId="2" showAll="0"/>
    <pivotField numFmtId="164" showAll="0"/>
    <pivotField numFmtId="10" showAll="0"/>
    <pivotField dataField="1" numFmtId="164" showAll="0"/>
    <pivotField numFmtId="164" showAll="0"/>
    <pivotField numFmtId="164" showAll="0"/>
    <pivotField showAll="0"/>
    <pivotField showAll="0"/>
    <pivotField showAll="0"/>
    <pivotField numFmtId="164" showAll="0"/>
    <pivotField numFmtId="10" showAll="0"/>
    <pivotField showAll="0"/>
    <pivotField showAll="0"/>
    <pivotField axis="axisRow" showAll="0" nonAutoSortDefault="1">
      <items count="13">
        <item x="3"/>
        <item x="7"/>
        <item x="11"/>
        <item x="1"/>
        <item x="0"/>
        <item x="6"/>
        <item x="5"/>
        <item x="2"/>
        <item x="4"/>
        <item x="10"/>
        <item x="9"/>
        <item x="8"/>
        <item t="default"/>
      </items>
    </pivotField>
    <pivotField showAll="0"/>
  </pivotFields>
  <rowFields count="1">
    <field x="24"/>
  </rowFields>
  <rowItems count="13">
    <i>
      <x/>
    </i>
    <i>
      <x v="1"/>
    </i>
    <i>
      <x v="2"/>
    </i>
    <i>
      <x v="3"/>
    </i>
    <i>
      <x v="4"/>
    </i>
    <i>
      <x v="5"/>
    </i>
    <i>
      <x v="6"/>
    </i>
    <i>
      <x v="7"/>
    </i>
    <i>
      <x v="8"/>
    </i>
    <i>
      <x v="9"/>
    </i>
    <i>
      <x v="10"/>
    </i>
    <i>
      <x v="11"/>
    </i>
    <i t="grand">
      <x/>
    </i>
  </rowItems>
  <colItems count="1">
    <i/>
  </colItems>
  <dataFields count="1">
    <dataField name="Sum of Sales_Amount" fld="14" baseField="0" baseItem="0" numFmtId="164"/>
  </dataFields>
  <formats count="2">
    <format dxfId="1">
      <pivotArea field="1" type="button" dataOnly="0" labelOnly="1" outline="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A17088-150C-4596-B21A-7F83CBC6F59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26">
    <pivotField showAll="0"/>
    <pivotField showAll="0"/>
    <pivotField showAll="0"/>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164" showAll="0"/>
    <pivotField numFmtId="10" showAll="0"/>
    <pivotField numFmtId="164" showAll="0"/>
    <pivotField dataField="1" numFmtId="164" showAll="0"/>
    <pivotField numFmtId="164" showAll="0"/>
    <pivotField showAll="0"/>
    <pivotField showAll="0"/>
    <pivotField showAll="0"/>
    <pivotField numFmtId="164" showAll="0"/>
    <pivotField numFmtId="10" showAll="0"/>
    <pivotField showAll="0"/>
    <pivotField showAll="0"/>
    <pivotField showAll="0"/>
    <pivotField showAll="0"/>
  </pivotFields>
  <rowFields count="1">
    <field x="8"/>
  </rowFields>
  <rowItems count="4">
    <i>
      <x v="1"/>
    </i>
    <i>
      <x v="2"/>
    </i>
    <i>
      <x/>
    </i>
    <i t="grand">
      <x/>
    </i>
  </rowItems>
  <colItems count="1">
    <i/>
  </colItems>
  <dataFields count="1">
    <dataField name="Sum of Profit" fld="15"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1B49347-116D-46DB-AEE0-6D7D29DC2D36}" sourceName="Category">
  <pivotTables>
    <pivotTable tabId="5" name="PivotTable1"/>
  </pivotTables>
  <data>
    <tabular pivotCacheId="1753280031">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CC2401-3136-401F-B14D-BDCB9BBC4F07}" sourceName="Region">
  <pivotTables>
    <pivotTable tabId="5" name="PivotTable1"/>
  </pivotTables>
  <data>
    <tabular pivotCacheId="1753280031">
      <items count="5">
        <i x="3" s="1"/>
        <i x="1"/>
        <i x="0"/>
        <i x="2"/>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8AED928-ABBC-4789-838C-049F108EF0B8}" sourceName="Customer_Segment">
  <pivotTables>
    <pivotTable tabId="5" name="PivotTable1"/>
  </pivotTables>
  <data>
    <tabular pivotCacheId="1753280031">
      <items count="4">
        <i x="1" s="1"/>
        <i x="2"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634C22D-CE14-4307-936B-CC8F62387291}" cache="Slicer_Category" caption="Category" rowHeight="234950"/>
  <slicer name="Region" xr10:uid="{D47610B9-AB8D-4102-8696-469F38C35668}" cache="Slicer_Region" caption="Region" rowHeight="234950"/>
  <slicer name="Customer_Segment" xr10:uid="{BB147178-656A-4A3C-9B83-262E79806FA5}"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828AEE-C01F-4BA3-8303-A398201AF3F7}" name="Table2" displayName="Table2" ref="A1:R275" totalsRowShown="0" headerRowDxfId="11">
  <autoFilter ref="A1:R275" xr:uid="{EB828AEE-C01F-4BA3-8303-A398201AF3F7}"/>
  <tableColumns count="18">
    <tableColumn id="1" xr3:uid="{42FF2FAF-1B15-425E-B7E5-D4AB03A1E2A6}" name="Order_ID"/>
    <tableColumn id="2" xr3:uid="{DB24CBE4-5182-4488-A4CC-6222F8858E12}" name="Order_Date" dataDxfId="10"/>
    <tableColumn id="3" xr3:uid="{DADCC8FE-1070-4EF3-9949-D873C3A6920B}" name="Customer_ID"/>
    <tableColumn id="4" xr3:uid="{5ED91B67-32BF-4A6D-9CA1-C6EEB205DABC}" name="Customer_Name"/>
    <tableColumn id="5" xr3:uid="{520D7793-6CA9-47B6-8370-B9C2E027A64C}" name="Customer_Segment"/>
    <tableColumn id="6" xr3:uid="{0FA5B9D8-DFE2-4C19-97D2-FAB9AB834C7F}" name="Region"/>
    <tableColumn id="7" xr3:uid="{85771626-7E02-443D-884A-1DA7F3C978B0}" name="State"/>
    <tableColumn id="8" xr3:uid="{15B5017A-100F-4761-AEF9-B7F6D5E1B93E}" name="City"/>
    <tableColumn id="9" xr3:uid="{96A2DFE8-DE79-490C-9E18-2B884353F691}" name="Category"/>
    <tableColumn id="10" xr3:uid="{920FC01E-C016-47CC-870A-136BA598BBB3}" name="Sub_Category"/>
    <tableColumn id="11" xr3:uid="{F71C0D77-B212-48E0-9084-0A77D20426BD}" name="Product_Name"/>
    <tableColumn id="12" xr3:uid="{5F030159-1E92-4CEA-BF72-73CFD1C4012F}" name="Quantity" dataDxfId="9"/>
    <tableColumn id="13" xr3:uid="{1561B2F1-03A9-4530-8D24-D822622CBDED}" name="Unit_Price" dataDxfId="8"/>
    <tableColumn id="14" xr3:uid="{39F830AE-74AA-4E29-A12A-294758B00BDE}" name=" Discount" dataDxfId="7"/>
    <tableColumn id="15" xr3:uid="{D16CD251-6B13-40D6-8587-D9710BDE8A88}" name="Sales_Amount" dataDxfId="6"/>
    <tableColumn id="16" xr3:uid="{6F935D32-3E6F-4CE3-B662-F86473741BEE}" name="Profit" dataDxfId="5"/>
    <tableColumn id="17" xr3:uid="{7705672D-2E3F-4503-B524-5BB1FACAC9FB}" name="Shipping_Cost" dataDxfId="4"/>
    <tableColumn id="18" xr3:uid="{2714CEAA-A8EE-4D64-841E-35FC2B22A520}" name="Ship_Mo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5E5A6-3290-4CE1-AC64-D99996ECAA8D}">
  <dimension ref="A1:P52"/>
  <sheetViews>
    <sheetView tabSelected="1" zoomScale="85" zoomScaleNormal="98" workbookViewId="0">
      <selection sqref="A1:P2"/>
    </sheetView>
  </sheetViews>
  <sheetFormatPr defaultRowHeight="14.4" x14ac:dyDescent="0.3"/>
  <cols>
    <col min="1" max="1" width="11.6640625" customWidth="1"/>
    <col min="2" max="2" width="9" bestFit="1" customWidth="1"/>
    <col min="3" max="3" width="11.44140625" bestFit="1" customWidth="1"/>
    <col min="4" max="4" width="9.6640625" customWidth="1"/>
    <col min="5" max="5" width="10.77734375" customWidth="1"/>
    <col min="6" max="6" width="13.6640625" bestFit="1" customWidth="1"/>
    <col min="7" max="7" width="14.77734375" bestFit="1" customWidth="1"/>
    <col min="9" max="9" width="9" bestFit="1" customWidth="1"/>
    <col min="10" max="10" width="12.88671875" bestFit="1" customWidth="1"/>
    <col min="13" max="13" width="9" bestFit="1" customWidth="1"/>
  </cols>
  <sheetData>
    <row r="1" spans="1:16" ht="14.4" customHeight="1" x14ac:dyDescent="0.3">
      <c r="A1" s="39" t="s">
        <v>692</v>
      </c>
      <c r="B1" s="39"/>
      <c r="C1" s="39"/>
      <c r="D1" s="39"/>
      <c r="E1" s="39"/>
      <c r="F1" s="39"/>
      <c r="G1" s="39"/>
      <c r="H1" s="39"/>
      <c r="I1" s="39"/>
      <c r="J1" s="39"/>
      <c r="K1" s="39"/>
      <c r="L1" s="39"/>
      <c r="M1" s="39"/>
      <c r="N1" s="39"/>
      <c r="O1" s="39"/>
      <c r="P1" s="39"/>
    </row>
    <row r="2" spans="1:16" x14ac:dyDescent="0.3">
      <c r="A2" s="39"/>
      <c r="B2" s="39"/>
      <c r="C2" s="39"/>
      <c r="D2" s="39"/>
      <c r="E2" s="39"/>
      <c r="F2" s="39"/>
      <c r="G2" s="39"/>
      <c r="H2" s="39"/>
      <c r="I2" s="39"/>
      <c r="J2" s="39"/>
      <c r="K2" s="39"/>
      <c r="L2" s="39"/>
      <c r="M2" s="39"/>
      <c r="N2" s="39"/>
      <c r="O2" s="39"/>
      <c r="P2" s="39"/>
    </row>
    <row r="3" spans="1:16" ht="15" thickBot="1" x14ac:dyDescent="0.35"/>
    <row r="4" spans="1:16" ht="24" customHeight="1" x14ac:dyDescent="0.3">
      <c r="A4" s="27"/>
      <c r="B4" s="40" t="s">
        <v>698</v>
      </c>
      <c r="C4" s="41"/>
      <c r="D4" s="41"/>
      <c r="E4" s="41"/>
      <c r="F4" s="41"/>
      <c r="G4" s="41"/>
      <c r="H4" s="41"/>
      <c r="I4" s="41"/>
      <c r="J4" s="41"/>
      <c r="K4" s="41"/>
      <c r="L4" s="41"/>
      <c r="M4" s="41"/>
      <c r="N4" s="42"/>
    </row>
    <row r="5" spans="1:16" ht="15" thickBot="1" x14ac:dyDescent="0.35">
      <c r="A5" s="28"/>
      <c r="B5" s="43"/>
      <c r="C5" s="44"/>
      <c r="D5" s="44"/>
      <c r="E5" s="44"/>
      <c r="F5" s="44"/>
      <c r="G5" s="44"/>
      <c r="H5" s="44"/>
      <c r="I5" s="44"/>
      <c r="J5" s="44"/>
      <c r="K5" s="44"/>
      <c r="L5" s="44"/>
      <c r="M5" s="44"/>
      <c r="N5" s="45"/>
    </row>
    <row r="35" spans="7:12" ht="15" thickBot="1" x14ac:dyDescent="0.35"/>
    <row r="36" spans="7:12" ht="14.4" customHeight="1" x14ac:dyDescent="0.3">
      <c r="G36" s="30" t="s">
        <v>697</v>
      </c>
      <c r="H36" s="31"/>
      <c r="I36" s="31"/>
      <c r="J36" s="31"/>
      <c r="K36" s="31"/>
      <c r="L36" s="32"/>
    </row>
    <row r="37" spans="7:12" x14ac:dyDescent="0.3">
      <c r="G37" s="33"/>
      <c r="H37" s="34"/>
      <c r="I37" s="34"/>
      <c r="J37" s="34"/>
      <c r="K37" s="34"/>
      <c r="L37" s="35"/>
    </row>
    <row r="38" spans="7:12" x14ac:dyDescent="0.3">
      <c r="G38" s="33"/>
      <c r="H38" s="34"/>
      <c r="I38" s="34"/>
      <c r="J38" s="34"/>
      <c r="K38" s="34"/>
      <c r="L38" s="35"/>
    </row>
    <row r="39" spans="7:12" x14ac:dyDescent="0.3">
      <c r="G39" s="33"/>
      <c r="H39" s="34"/>
      <c r="I39" s="34"/>
      <c r="J39" s="34"/>
      <c r="K39" s="34"/>
      <c r="L39" s="35"/>
    </row>
    <row r="40" spans="7:12" x14ac:dyDescent="0.3">
      <c r="G40" s="33"/>
      <c r="H40" s="34"/>
      <c r="I40" s="34"/>
      <c r="J40" s="34"/>
      <c r="K40" s="34"/>
      <c r="L40" s="35"/>
    </row>
    <row r="41" spans="7:12" x14ac:dyDescent="0.3">
      <c r="G41" s="33"/>
      <c r="H41" s="34"/>
      <c r="I41" s="34"/>
      <c r="J41" s="34"/>
      <c r="K41" s="34"/>
      <c r="L41" s="35"/>
    </row>
    <row r="42" spans="7:12" x14ac:dyDescent="0.3">
      <c r="G42" s="33"/>
      <c r="H42" s="34"/>
      <c r="I42" s="34"/>
      <c r="J42" s="34"/>
      <c r="K42" s="34"/>
      <c r="L42" s="35"/>
    </row>
    <row r="43" spans="7:12" x14ac:dyDescent="0.3">
      <c r="G43" s="33"/>
      <c r="H43" s="34"/>
      <c r="I43" s="34"/>
      <c r="J43" s="34"/>
      <c r="K43" s="34"/>
      <c r="L43" s="35"/>
    </row>
    <row r="44" spans="7:12" x14ac:dyDescent="0.3">
      <c r="G44" s="33"/>
      <c r="H44" s="34"/>
      <c r="I44" s="34"/>
      <c r="J44" s="34"/>
      <c r="K44" s="34"/>
      <c r="L44" s="35"/>
    </row>
    <row r="45" spans="7:12" x14ac:dyDescent="0.3">
      <c r="G45" s="33"/>
      <c r="H45" s="34"/>
      <c r="I45" s="34"/>
      <c r="J45" s="34"/>
      <c r="K45" s="34"/>
      <c r="L45" s="35"/>
    </row>
    <row r="46" spans="7:12" x14ac:dyDescent="0.3">
      <c r="G46" s="33"/>
      <c r="H46" s="34"/>
      <c r="I46" s="34"/>
      <c r="J46" s="34"/>
      <c r="K46" s="34"/>
      <c r="L46" s="35"/>
    </row>
    <row r="47" spans="7:12" x14ac:dyDescent="0.3">
      <c r="G47" s="33"/>
      <c r="H47" s="34"/>
      <c r="I47" s="34"/>
      <c r="J47" s="34"/>
      <c r="K47" s="34"/>
      <c r="L47" s="35"/>
    </row>
    <row r="48" spans="7:12" x14ac:dyDescent="0.3">
      <c r="G48" s="33"/>
      <c r="H48" s="34"/>
      <c r="I48" s="34"/>
      <c r="J48" s="34"/>
      <c r="K48" s="34"/>
      <c r="L48" s="35"/>
    </row>
    <row r="49" spans="1:12" ht="15" thickBot="1" x14ac:dyDescent="0.35">
      <c r="G49" s="36"/>
      <c r="H49" s="37"/>
      <c r="I49" s="37"/>
      <c r="J49" s="37"/>
      <c r="K49" s="37"/>
      <c r="L49" s="38"/>
    </row>
    <row r="50" spans="1:12" x14ac:dyDescent="0.3">
      <c r="H50" s="22"/>
    </row>
    <row r="51" spans="1:12" ht="28.8" x14ac:dyDescent="0.55000000000000004">
      <c r="A51" s="29" t="s">
        <v>699</v>
      </c>
      <c r="H51" s="22"/>
    </row>
    <row r="52" spans="1:12" x14ac:dyDescent="0.3">
      <c r="H52" s="22"/>
    </row>
  </sheetData>
  <mergeCells count="3">
    <mergeCell ref="G36:L49"/>
    <mergeCell ref="A1:P2"/>
    <mergeCell ref="B4: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75"/>
  <sheetViews>
    <sheetView topLeftCell="I1" zoomScale="88" zoomScaleNormal="88" workbookViewId="0">
      <pane ySplit="1" topLeftCell="A2" activePane="bottomLeft" state="frozen"/>
      <selection pane="bottomLeft" activeCell="E31" sqref="E31"/>
    </sheetView>
  </sheetViews>
  <sheetFormatPr defaultRowHeight="14.4" x14ac:dyDescent="0.3"/>
  <cols>
    <col min="1" max="1" width="12" customWidth="1"/>
    <col min="2" max="2" width="11.44140625" style="4" bestFit="1" customWidth="1"/>
    <col min="3" max="3" width="12.5546875" bestFit="1" customWidth="1"/>
    <col min="4" max="4" width="16" bestFit="1" customWidth="1"/>
    <col min="5" max="5" width="17.88671875" customWidth="1"/>
    <col min="6" max="6" width="7.33203125" bestFit="1" customWidth="1"/>
    <col min="7" max="7" width="12.21875" bestFit="1" customWidth="1"/>
    <col min="8" max="8" width="12" bestFit="1" customWidth="1"/>
    <col min="9" max="9" width="14.21875" bestFit="1" customWidth="1"/>
    <col min="10" max="10" width="13.88671875" bestFit="1" customWidth="1"/>
    <col min="11" max="11" width="16.21875" bestFit="1" customWidth="1"/>
    <col min="12" max="12" width="8.44140625" bestFit="1" customWidth="1"/>
    <col min="13" max="13" width="10.21875" bestFit="1" customWidth="1"/>
    <col min="14" max="14" width="11.6640625" bestFit="1" customWidth="1"/>
    <col min="15" max="15" width="13.88671875" bestFit="1" customWidth="1"/>
    <col min="16" max="16" width="10" bestFit="1" customWidth="1"/>
    <col min="17" max="17" width="14.109375" bestFit="1" customWidth="1"/>
    <col min="18" max="18" width="12.77734375" bestFit="1" customWidth="1"/>
  </cols>
  <sheetData>
    <row r="1" spans="1:18" s="1" customFormat="1" x14ac:dyDescent="0.3">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x14ac:dyDescent="0.3">
      <c r="A2" t="s">
        <v>18</v>
      </c>
      <c r="B2" s="4" t="s">
        <v>19</v>
      </c>
      <c r="C2" t="s">
        <v>20</v>
      </c>
      <c r="D2" t="s">
        <v>21</v>
      </c>
      <c r="E2" t="s">
        <v>22</v>
      </c>
      <c r="F2" t="s">
        <v>23</v>
      </c>
      <c r="G2" t="s">
        <v>24</v>
      </c>
      <c r="H2" t="s">
        <v>25</v>
      </c>
      <c r="I2" t="s">
        <v>26</v>
      </c>
      <c r="J2" t="s">
        <v>27</v>
      </c>
      <c r="K2" t="s">
        <v>28</v>
      </c>
      <c r="L2">
        <v>4</v>
      </c>
      <c r="M2">
        <v>40000</v>
      </c>
      <c r="N2">
        <v>0.1</v>
      </c>
      <c r="O2">
        <v>144000</v>
      </c>
      <c r="P2">
        <v>31228.09</v>
      </c>
      <c r="Q2">
        <v>292.38</v>
      </c>
      <c r="R2" t="s">
        <v>29</v>
      </c>
    </row>
    <row r="3" spans="1:18" x14ac:dyDescent="0.3">
      <c r="A3" t="s">
        <v>30</v>
      </c>
      <c r="B3" s="4" t="s">
        <v>31</v>
      </c>
      <c r="C3" t="s">
        <v>32</v>
      </c>
      <c r="D3" t="s">
        <v>33</v>
      </c>
      <c r="E3" t="s">
        <v>22</v>
      </c>
      <c r="F3" t="s">
        <v>23</v>
      </c>
      <c r="G3" t="s">
        <v>34</v>
      </c>
      <c r="H3" t="s">
        <v>35</v>
      </c>
      <c r="I3" t="s">
        <v>36</v>
      </c>
      <c r="J3" t="s">
        <v>37</v>
      </c>
      <c r="K3" t="s">
        <v>38</v>
      </c>
      <c r="L3">
        <v>4</v>
      </c>
      <c r="M3">
        <v>6000</v>
      </c>
      <c r="N3">
        <v>0.15</v>
      </c>
      <c r="O3">
        <v>20400</v>
      </c>
      <c r="P3">
        <v>2362.3200000000002</v>
      </c>
      <c r="Q3">
        <v>305.11</v>
      </c>
      <c r="R3" t="s">
        <v>39</v>
      </c>
    </row>
    <row r="4" spans="1:18" x14ac:dyDescent="0.3">
      <c r="A4" t="s">
        <v>40</v>
      </c>
      <c r="B4" s="4" t="s">
        <v>41</v>
      </c>
      <c r="C4" t="s">
        <v>42</v>
      </c>
      <c r="D4" t="s">
        <v>43</v>
      </c>
      <c r="E4" t="s">
        <v>22</v>
      </c>
      <c r="F4" t="s">
        <v>44</v>
      </c>
      <c r="G4" t="s">
        <v>45</v>
      </c>
      <c r="H4" t="s">
        <v>46</v>
      </c>
      <c r="I4" t="s">
        <v>47</v>
      </c>
      <c r="J4" t="s">
        <v>48</v>
      </c>
      <c r="K4" t="s">
        <v>49</v>
      </c>
      <c r="L4">
        <v>5</v>
      </c>
      <c r="M4">
        <v>3500</v>
      </c>
      <c r="N4">
        <v>0</v>
      </c>
      <c r="O4">
        <v>17500</v>
      </c>
      <c r="P4">
        <v>2888.22</v>
      </c>
      <c r="Q4">
        <v>213.14</v>
      </c>
      <c r="R4" t="s">
        <v>39</v>
      </c>
    </row>
    <row r="5" spans="1:18" x14ac:dyDescent="0.3">
      <c r="A5" t="s">
        <v>50</v>
      </c>
      <c r="B5" s="4" t="s">
        <v>51</v>
      </c>
      <c r="C5" t="s">
        <v>42</v>
      </c>
      <c r="D5" t="s">
        <v>43</v>
      </c>
      <c r="E5" t="s">
        <v>52</v>
      </c>
      <c r="F5" t="s">
        <v>53</v>
      </c>
      <c r="G5" t="s">
        <v>54</v>
      </c>
      <c r="H5" t="s">
        <v>55</v>
      </c>
      <c r="I5" t="s">
        <v>26</v>
      </c>
      <c r="J5" t="s">
        <v>27</v>
      </c>
      <c r="K5" t="s">
        <v>56</v>
      </c>
      <c r="L5">
        <v>4</v>
      </c>
      <c r="M5">
        <v>55000</v>
      </c>
      <c r="N5">
        <v>0.1</v>
      </c>
      <c r="O5">
        <v>198000</v>
      </c>
      <c r="P5">
        <v>52463.94</v>
      </c>
      <c r="Q5">
        <v>129.93</v>
      </c>
      <c r="R5" t="s">
        <v>57</v>
      </c>
    </row>
    <row r="6" spans="1:18" x14ac:dyDescent="0.3">
      <c r="A6" t="s">
        <v>58</v>
      </c>
      <c r="B6" s="4" t="s">
        <v>59</v>
      </c>
      <c r="C6" t="s">
        <v>60</v>
      </c>
      <c r="D6" t="s">
        <v>61</v>
      </c>
      <c r="E6" t="s">
        <v>52</v>
      </c>
      <c r="F6" t="s">
        <v>23</v>
      </c>
      <c r="G6" t="s">
        <v>34</v>
      </c>
      <c r="H6" t="s">
        <v>62</v>
      </c>
      <c r="I6" t="s">
        <v>47</v>
      </c>
      <c r="J6" t="s">
        <v>48</v>
      </c>
      <c r="K6" t="s">
        <v>63</v>
      </c>
      <c r="L6">
        <v>1</v>
      </c>
      <c r="M6">
        <v>2800</v>
      </c>
      <c r="N6">
        <v>0</v>
      </c>
      <c r="O6">
        <v>2800</v>
      </c>
      <c r="P6">
        <v>397.49</v>
      </c>
      <c r="Q6">
        <v>52.55</v>
      </c>
      <c r="R6" t="s">
        <v>64</v>
      </c>
    </row>
    <row r="7" spans="1:18" x14ac:dyDescent="0.3">
      <c r="A7" t="s">
        <v>65</v>
      </c>
      <c r="B7" s="4" t="s">
        <v>66</v>
      </c>
      <c r="C7" t="s">
        <v>42</v>
      </c>
      <c r="D7" t="s">
        <v>43</v>
      </c>
      <c r="E7" t="s">
        <v>67</v>
      </c>
      <c r="F7" t="s">
        <v>23</v>
      </c>
      <c r="G7" t="s">
        <v>24</v>
      </c>
      <c r="H7" t="s">
        <v>68</v>
      </c>
      <c r="I7" t="s">
        <v>26</v>
      </c>
      <c r="J7" t="s">
        <v>69</v>
      </c>
      <c r="K7" t="s">
        <v>70</v>
      </c>
      <c r="L7">
        <v>5</v>
      </c>
      <c r="M7">
        <v>45000</v>
      </c>
      <c r="N7">
        <v>0.05</v>
      </c>
      <c r="O7">
        <v>213750</v>
      </c>
      <c r="P7">
        <v>52374.47</v>
      </c>
      <c r="Q7">
        <v>106.86</v>
      </c>
      <c r="R7" t="s">
        <v>29</v>
      </c>
    </row>
    <row r="8" spans="1:18" x14ac:dyDescent="0.3">
      <c r="A8" t="s">
        <v>71</v>
      </c>
      <c r="B8" s="4" t="s">
        <v>59</v>
      </c>
      <c r="C8" t="s">
        <v>72</v>
      </c>
      <c r="D8" t="s">
        <v>73</v>
      </c>
      <c r="E8" t="s">
        <v>22</v>
      </c>
      <c r="F8" t="s">
        <v>23</v>
      </c>
      <c r="G8" t="s">
        <v>74</v>
      </c>
      <c r="H8" t="s">
        <v>75</v>
      </c>
      <c r="I8" t="s">
        <v>26</v>
      </c>
      <c r="J8" t="s">
        <v>27</v>
      </c>
      <c r="K8" t="s">
        <v>76</v>
      </c>
      <c r="L8">
        <v>2</v>
      </c>
      <c r="M8">
        <v>75000</v>
      </c>
      <c r="N8">
        <v>0</v>
      </c>
      <c r="O8">
        <v>150000</v>
      </c>
      <c r="P8">
        <v>17224.05</v>
      </c>
      <c r="Q8">
        <v>129.94</v>
      </c>
      <c r="R8" t="s">
        <v>57</v>
      </c>
    </row>
    <row r="9" spans="1:18" x14ac:dyDescent="0.3">
      <c r="A9" t="s">
        <v>77</v>
      </c>
      <c r="B9" s="4" t="s">
        <v>31</v>
      </c>
      <c r="C9" t="s">
        <v>78</v>
      </c>
      <c r="D9" t="s">
        <v>79</v>
      </c>
      <c r="E9" t="s">
        <v>67</v>
      </c>
      <c r="F9" t="s">
        <v>53</v>
      </c>
      <c r="G9" t="s">
        <v>54</v>
      </c>
      <c r="H9" t="s">
        <v>55</v>
      </c>
      <c r="I9" t="s">
        <v>26</v>
      </c>
      <c r="J9" t="s">
        <v>69</v>
      </c>
      <c r="K9" t="s">
        <v>80</v>
      </c>
      <c r="L9">
        <v>1</v>
      </c>
      <c r="M9">
        <v>50000</v>
      </c>
      <c r="N9">
        <v>0.1</v>
      </c>
      <c r="O9">
        <v>45000</v>
      </c>
      <c r="P9">
        <v>6189.43</v>
      </c>
      <c r="Q9">
        <v>313.56</v>
      </c>
      <c r="R9" t="s">
        <v>39</v>
      </c>
    </row>
    <row r="10" spans="1:18" x14ac:dyDescent="0.3">
      <c r="A10" t="s">
        <v>81</v>
      </c>
      <c r="B10" s="4" t="s">
        <v>82</v>
      </c>
      <c r="C10" t="s">
        <v>20</v>
      </c>
      <c r="D10" t="s">
        <v>21</v>
      </c>
      <c r="E10" t="s">
        <v>67</v>
      </c>
      <c r="F10" t="s">
        <v>53</v>
      </c>
      <c r="G10" t="s">
        <v>83</v>
      </c>
      <c r="H10" t="s">
        <v>84</v>
      </c>
      <c r="I10" t="s">
        <v>47</v>
      </c>
      <c r="J10" t="s">
        <v>85</v>
      </c>
      <c r="K10" t="s">
        <v>86</v>
      </c>
      <c r="L10">
        <v>5</v>
      </c>
      <c r="M10">
        <v>3500</v>
      </c>
      <c r="N10">
        <v>0</v>
      </c>
      <c r="O10">
        <v>17500</v>
      </c>
      <c r="P10">
        <v>2034.29</v>
      </c>
      <c r="Q10">
        <v>66.92</v>
      </c>
      <c r="R10" t="s">
        <v>64</v>
      </c>
    </row>
    <row r="11" spans="1:18" x14ac:dyDescent="0.3">
      <c r="A11" t="s">
        <v>87</v>
      </c>
      <c r="B11" s="4" t="s">
        <v>88</v>
      </c>
      <c r="C11" t="s">
        <v>89</v>
      </c>
      <c r="D11" t="s">
        <v>90</v>
      </c>
      <c r="E11" t="s">
        <v>67</v>
      </c>
      <c r="F11" t="s">
        <v>23</v>
      </c>
      <c r="G11" t="s">
        <v>34</v>
      </c>
      <c r="H11" t="s">
        <v>62</v>
      </c>
      <c r="I11" t="s">
        <v>26</v>
      </c>
      <c r="J11" t="s">
        <v>91</v>
      </c>
      <c r="K11" t="s">
        <v>92</v>
      </c>
      <c r="L11">
        <v>1</v>
      </c>
      <c r="M11">
        <v>1200</v>
      </c>
      <c r="N11">
        <v>0.2</v>
      </c>
      <c r="O11">
        <v>960</v>
      </c>
      <c r="P11">
        <v>208.87</v>
      </c>
      <c r="Q11">
        <v>191.27</v>
      </c>
      <c r="R11" t="s">
        <v>57</v>
      </c>
    </row>
    <row r="12" spans="1:18" x14ac:dyDescent="0.3">
      <c r="A12" t="s">
        <v>93</v>
      </c>
      <c r="B12" s="4" t="s">
        <v>19</v>
      </c>
      <c r="C12" t="s">
        <v>94</v>
      </c>
      <c r="D12" t="s">
        <v>95</v>
      </c>
      <c r="E12" t="s">
        <v>67</v>
      </c>
      <c r="F12" t="s">
        <v>44</v>
      </c>
      <c r="G12" t="s">
        <v>45</v>
      </c>
      <c r="H12" t="s">
        <v>96</v>
      </c>
      <c r="I12" t="s">
        <v>47</v>
      </c>
      <c r="J12" t="s">
        <v>48</v>
      </c>
      <c r="K12" t="s">
        <v>97</v>
      </c>
      <c r="L12">
        <v>3</v>
      </c>
      <c r="M12">
        <v>1500</v>
      </c>
      <c r="N12">
        <v>0.15</v>
      </c>
      <c r="O12">
        <v>3825</v>
      </c>
      <c r="P12">
        <v>975.06</v>
      </c>
      <c r="Q12">
        <v>404.69</v>
      </c>
      <c r="R12" t="s">
        <v>57</v>
      </c>
    </row>
    <row r="13" spans="1:18" x14ac:dyDescent="0.3">
      <c r="A13" t="s">
        <v>98</v>
      </c>
      <c r="B13" s="4" t="s">
        <v>99</v>
      </c>
      <c r="C13" t="s">
        <v>32</v>
      </c>
      <c r="D13" t="s">
        <v>33</v>
      </c>
      <c r="E13" t="s">
        <v>67</v>
      </c>
      <c r="F13" t="s">
        <v>53</v>
      </c>
      <c r="G13" t="s">
        <v>100</v>
      </c>
      <c r="H13" t="s">
        <v>101</v>
      </c>
      <c r="I13" t="s">
        <v>47</v>
      </c>
      <c r="J13" t="s">
        <v>85</v>
      </c>
      <c r="K13" t="s">
        <v>102</v>
      </c>
      <c r="L13">
        <v>5</v>
      </c>
      <c r="M13">
        <v>3200</v>
      </c>
      <c r="N13">
        <v>0.15</v>
      </c>
      <c r="O13">
        <v>13600</v>
      </c>
      <c r="P13">
        <v>3032.33</v>
      </c>
      <c r="Q13">
        <v>137.51</v>
      </c>
      <c r="R13" t="s">
        <v>64</v>
      </c>
    </row>
    <row r="14" spans="1:18" x14ac:dyDescent="0.3">
      <c r="A14" t="s">
        <v>103</v>
      </c>
      <c r="B14" s="4" t="s">
        <v>31</v>
      </c>
      <c r="C14" t="s">
        <v>104</v>
      </c>
      <c r="D14" t="s">
        <v>105</v>
      </c>
      <c r="E14" t="s">
        <v>52</v>
      </c>
      <c r="F14" t="s">
        <v>106</v>
      </c>
      <c r="G14" t="s">
        <v>107</v>
      </c>
      <c r="H14" t="s">
        <v>108</v>
      </c>
      <c r="I14" t="s">
        <v>26</v>
      </c>
      <c r="J14" t="s">
        <v>91</v>
      </c>
      <c r="K14" t="s">
        <v>109</v>
      </c>
      <c r="L14">
        <v>3</v>
      </c>
      <c r="M14">
        <v>8000</v>
      </c>
      <c r="N14">
        <v>0.15</v>
      </c>
      <c r="O14">
        <v>20400</v>
      </c>
      <c r="P14">
        <v>3332.19</v>
      </c>
      <c r="Q14">
        <v>388.69</v>
      </c>
      <c r="R14" t="s">
        <v>57</v>
      </c>
    </row>
    <row r="15" spans="1:18" x14ac:dyDescent="0.3">
      <c r="A15" t="s">
        <v>110</v>
      </c>
      <c r="B15" s="4" t="s">
        <v>111</v>
      </c>
      <c r="C15" t="s">
        <v>104</v>
      </c>
      <c r="D15" t="s">
        <v>105</v>
      </c>
      <c r="E15" t="s">
        <v>22</v>
      </c>
      <c r="F15" t="s">
        <v>53</v>
      </c>
      <c r="G15" t="s">
        <v>54</v>
      </c>
      <c r="H15" t="s">
        <v>112</v>
      </c>
      <c r="I15" t="s">
        <v>36</v>
      </c>
      <c r="J15" t="s">
        <v>113</v>
      </c>
      <c r="K15" t="s">
        <v>114</v>
      </c>
      <c r="L15">
        <v>1</v>
      </c>
      <c r="M15">
        <v>600</v>
      </c>
      <c r="N15">
        <v>0.1</v>
      </c>
      <c r="O15">
        <v>540</v>
      </c>
      <c r="P15">
        <v>76.739999999999995</v>
      </c>
      <c r="Q15">
        <v>352.54</v>
      </c>
      <c r="R15" t="s">
        <v>57</v>
      </c>
    </row>
    <row r="16" spans="1:18" x14ac:dyDescent="0.3">
      <c r="A16" t="s">
        <v>115</v>
      </c>
      <c r="B16" s="4" t="s">
        <v>116</v>
      </c>
      <c r="C16" t="s">
        <v>117</v>
      </c>
      <c r="D16" t="s">
        <v>118</v>
      </c>
      <c r="E16" t="s">
        <v>52</v>
      </c>
      <c r="F16" t="s">
        <v>106</v>
      </c>
      <c r="G16" t="s">
        <v>107</v>
      </c>
      <c r="H16" t="s">
        <v>108</v>
      </c>
      <c r="I16" t="s">
        <v>47</v>
      </c>
      <c r="J16" t="s">
        <v>119</v>
      </c>
      <c r="K16" t="s">
        <v>120</v>
      </c>
      <c r="L16">
        <v>5</v>
      </c>
      <c r="M16">
        <v>1800</v>
      </c>
      <c r="N16">
        <v>0.2</v>
      </c>
      <c r="O16">
        <v>7200</v>
      </c>
      <c r="P16">
        <v>1485.64</v>
      </c>
      <c r="Q16">
        <v>394.27</v>
      </c>
      <c r="R16" t="s">
        <v>64</v>
      </c>
    </row>
    <row r="17" spans="1:18" x14ac:dyDescent="0.3">
      <c r="A17" t="s">
        <v>121</v>
      </c>
      <c r="B17" s="4" t="s">
        <v>31</v>
      </c>
      <c r="C17" t="s">
        <v>122</v>
      </c>
      <c r="D17" t="s">
        <v>123</v>
      </c>
      <c r="E17" t="s">
        <v>52</v>
      </c>
      <c r="F17" t="s">
        <v>44</v>
      </c>
      <c r="G17" t="s">
        <v>45</v>
      </c>
      <c r="H17" t="s">
        <v>124</v>
      </c>
      <c r="I17" t="s">
        <v>36</v>
      </c>
      <c r="J17" t="s">
        <v>37</v>
      </c>
      <c r="K17" t="s">
        <v>125</v>
      </c>
      <c r="L17">
        <v>4</v>
      </c>
      <c r="M17">
        <v>8500</v>
      </c>
      <c r="N17">
        <v>0</v>
      </c>
      <c r="O17">
        <v>34000</v>
      </c>
      <c r="P17">
        <v>5230.74</v>
      </c>
      <c r="Q17">
        <v>300.75</v>
      </c>
      <c r="R17" t="s">
        <v>64</v>
      </c>
    </row>
    <row r="18" spans="1:18" x14ac:dyDescent="0.3">
      <c r="A18" t="s">
        <v>126</v>
      </c>
      <c r="B18" s="4" t="s">
        <v>31</v>
      </c>
      <c r="C18" t="s">
        <v>127</v>
      </c>
      <c r="D18" t="s">
        <v>128</v>
      </c>
      <c r="E18" t="s">
        <v>52</v>
      </c>
      <c r="F18" t="s">
        <v>53</v>
      </c>
      <c r="G18" t="s">
        <v>83</v>
      </c>
      <c r="H18" t="s">
        <v>129</v>
      </c>
      <c r="I18" t="s">
        <v>47</v>
      </c>
      <c r="J18" t="s">
        <v>85</v>
      </c>
      <c r="K18" t="s">
        <v>86</v>
      </c>
      <c r="L18">
        <v>2</v>
      </c>
      <c r="M18">
        <v>3500</v>
      </c>
      <c r="N18">
        <v>0</v>
      </c>
      <c r="O18">
        <v>7000</v>
      </c>
      <c r="P18">
        <v>1822.47</v>
      </c>
      <c r="Q18">
        <v>440.57</v>
      </c>
      <c r="R18" t="s">
        <v>29</v>
      </c>
    </row>
    <row r="19" spans="1:18" x14ac:dyDescent="0.3">
      <c r="A19" t="s">
        <v>130</v>
      </c>
      <c r="B19" s="4" t="s">
        <v>111</v>
      </c>
      <c r="C19" t="s">
        <v>78</v>
      </c>
      <c r="D19" t="s">
        <v>79</v>
      </c>
      <c r="E19" t="s">
        <v>22</v>
      </c>
      <c r="F19" t="s">
        <v>23</v>
      </c>
      <c r="G19" t="s">
        <v>34</v>
      </c>
      <c r="H19" t="s">
        <v>35</v>
      </c>
      <c r="I19" t="s">
        <v>26</v>
      </c>
      <c r="J19" t="s">
        <v>69</v>
      </c>
      <c r="K19" t="s">
        <v>131</v>
      </c>
      <c r="L19">
        <v>5</v>
      </c>
      <c r="M19">
        <v>115000</v>
      </c>
      <c r="N19">
        <v>0.2</v>
      </c>
      <c r="O19">
        <v>460000</v>
      </c>
      <c r="P19">
        <v>118658.26</v>
      </c>
      <c r="Q19">
        <v>222.19</v>
      </c>
      <c r="R19" t="s">
        <v>29</v>
      </c>
    </row>
    <row r="20" spans="1:18" x14ac:dyDescent="0.3">
      <c r="A20" t="s">
        <v>132</v>
      </c>
      <c r="B20" s="4" t="s">
        <v>133</v>
      </c>
      <c r="C20" t="s">
        <v>134</v>
      </c>
      <c r="D20" t="s">
        <v>135</v>
      </c>
      <c r="E20" t="s">
        <v>67</v>
      </c>
      <c r="F20" t="s">
        <v>23</v>
      </c>
      <c r="G20" t="s">
        <v>24</v>
      </c>
      <c r="H20" t="s">
        <v>68</v>
      </c>
      <c r="I20" t="s">
        <v>26</v>
      </c>
      <c r="J20" t="s">
        <v>69</v>
      </c>
      <c r="K20" t="s">
        <v>136</v>
      </c>
      <c r="L20">
        <v>1</v>
      </c>
      <c r="M20">
        <v>42000</v>
      </c>
      <c r="N20">
        <v>0</v>
      </c>
      <c r="O20">
        <v>42000</v>
      </c>
      <c r="P20">
        <v>6129.87</v>
      </c>
      <c r="Q20">
        <v>272.36</v>
      </c>
      <c r="R20" t="s">
        <v>64</v>
      </c>
    </row>
    <row r="21" spans="1:18" x14ac:dyDescent="0.3">
      <c r="A21" t="s">
        <v>137</v>
      </c>
      <c r="B21" s="4" t="s">
        <v>138</v>
      </c>
      <c r="C21" t="s">
        <v>122</v>
      </c>
      <c r="D21" t="s">
        <v>123</v>
      </c>
      <c r="E21" t="s">
        <v>52</v>
      </c>
      <c r="F21" t="s">
        <v>106</v>
      </c>
      <c r="G21" t="s">
        <v>107</v>
      </c>
      <c r="H21" t="s">
        <v>139</v>
      </c>
      <c r="I21" t="s">
        <v>36</v>
      </c>
      <c r="J21" t="s">
        <v>140</v>
      </c>
      <c r="K21" t="s">
        <v>141</v>
      </c>
      <c r="L21">
        <v>3</v>
      </c>
      <c r="M21">
        <v>2200</v>
      </c>
      <c r="N21">
        <v>0</v>
      </c>
      <c r="O21">
        <v>6600</v>
      </c>
      <c r="P21">
        <v>707.72</v>
      </c>
      <c r="Q21">
        <v>464</v>
      </c>
      <c r="R21" t="s">
        <v>29</v>
      </c>
    </row>
    <row r="22" spans="1:18" x14ac:dyDescent="0.3">
      <c r="A22" t="s">
        <v>142</v>
      </c>
      <c r="B22" s="4" t="s">
        <v>59</v>
      </c>
      <c r="C22" t="s">
        <v>143</v>
      </c>
      <c r="D22" t="s">
        <v>144</v>
      </c>
      <c r="E22" t="s">
        <v>67</v>
      </c>
      <c r="F22" t="s">
        <v>23</v>
      </c>
      <c r="G22" t="s">
        <v>74</v>
      </c>
      <c r="H22" t="s">
        <v>75</v>
      </c>
      <c r="I22" t="s">
        <v>26</v>
      </c>
      <c r="J22" t="s">
        <v>69</v>
      </c>
      <c r="K22" t="s">
        <v>145</v>
      </c>
      <c r="L22">
        <v>4</v>
      </c>
      <c r="M22">
        <v>55000</v>
      </c>
      <c r="N22">
        <v>0</v>
      </c>
      <c r="O22">
        <v>220000</v>
      </c>
      <c r="P22">
        <v>53035.59</v>
      </c>
      <c r="Q22">
        <v>102.73</v>
      </c>
      <c r="R22" t="s">
        <v>57</v>
      </c>
    </row>
    <row r="23" spans="1:18" x14ac:dyDescent="0.3">
      <c r="A23" t="s">
        <v>146</v>
      </c>
      <c r="B23" s="4" t="s">
        <v>99</v>
      </c>
      <c r="C23" t="s">
        <v>147</v>
      </c>
      <c r="D23" t="s">
        <v>148</v>
      </c>
      <c r="E23" t="s">
        <v>22</v>
      </c>
      <c r="F23" t="s">
        <v>106</v>
      </c>
      <c r="G23" t="s">
        <v>149</v>
      </c>
      <c r="H23" t="s">
        <v>150</v>
      </c>
      <c r="I23" t="s">
        <v>26</v>
      </c>
      <c r="J23" t="s">
        <v>91</v>
      </c>
      <c r="K23" t="s">
        <v>109</v>
      </c>
      <c r="L23">
        <v>3</v>
      </c>
      <c r="M23">
        <v>8000</v>
      </c>
      <c r="N23">
        <v>0.15</v>
      </c>
      <c r="O23">
        <v>20400</v>
      </c>
      <c r="P23">
        <v>5548.64</v>
      </c>
      <c r="Q23">
        <v>290.73</v>
      </c>
      <c r="R23" t="s">
        <v>39</v>
      </c>
    </row>
    <row r="24" spans="1:18" x14ac:dyDescent="0.3">
      <c r="A24" t="s">
        <v>151</v>
      </c>
      <c r="B24" s="4" t="s">
        <v>88</v>
      </c>
      <c r="C24" t="s">
        <v>72</v>
      </c>
      <c r="D24" t="s">
        <v>73</v>
      </c>
      <c r="E24" t="s">
        <v>52</v>
      </c>
      <c r="F24" t="s">
        <v>23</v>
      </c>
      <c r="G24" t="s">
        <v>74</v>
      </c>
      <c r="H24" t="s">
        <v>152</v>
      </c>
      <c r="I24" t="s">
        <v>26</v>
      </c>
      <c r="J24" t="s">
        <v>91</v>
      </c>
      <c r="K24" t="s">
        <v>153</v>
      </c>
      <c r="L24">
        <v>2</v>
      </c>
      <c r="M24">
        <v>800</v>
      </c>
      <c r="N24">
        <v>0</v>
      </c>
      <c r="O24">
        <v>1600</v>
      </c>
      <c r="P24">
        <v>406.68</v>
      </c>
      <c r="Q24">
        <v>372.62</v>
      </c>
      <c r="R24" t="s">
        <v>57</v>
      </c>
    </row>
    <row r="25" spans="1:18" x14ac:dyDescent="0.3">
      <c r="A25" t="s">
        <v>154</v>
      </c>
      <c r="B25" s="4" t="s">
        <v>82</v>
      </c>
      <c r="C25" t="s">
        <v>127</v>
      </c>
      <c r="D25" t="s">
        <v>128</v>
      </c>
      <c r="E25" t="s">
        <v>52</v>
      </c>
      <c r="F25" t="s">
        <v>106</v>
      </c>
      <c r="G25" t="s">
        <v>107</v>
      </c>
      <c r="H25" t="s">
        <v>108</v>
      </c>
      <c r="I25" t="s">
        <v>26</v>
      </c>
      <c r="J25" t="s">
        <v>69</v>
      </c>
      <c r="K25" t="s">
        <v>80</v>
      </c>
      <c r="L25">
        <v>1</v>
      </c>
      <c r="M25">
        <v>50000</v>
      </c>
      <c r="N25">
        <v>0</v>
      </c>
      <c r="O25">
        <v>50000</v>
      </c>
      <c r="P25">
        <v>8965.57</v>
      </c>
      <c r="Q25">
        <v>484.99</v>
      </c>
      <c r="R25" t="s">
        <v>39</v>
      </c>
    </row>
    <row r="26" spans="1:18" x14ac:dyDescent="0.3">
      <c r="A26" t="s">
        <v>155</v>
      </c>
      <c r="B26" s="4" t="s">
        <v>156</v>
      </c>
      <c r="C26" t="s">
        <v>157</v>
      </c>
      <c r="D26" t="s">
        <v>158</v>
      </c>
      <c r="E26" t="s">
        <v>52</v>
      </c>
      <c r="F26" t="s">
        <v>23</v>
      </c>
      <c r="G26" t="s">
        <v>74</v>
      </c>
      <c r="H26" t="s">
        <v>75</v>
      </c>
      <c r="I26" t="s">
        <v>36</v>
      </c>
      <c r="J26" t="s">
        <v>113</v>
      </c>
      <c r="K26" t="s">
        <v>159</v>
      </c>
      <c r="L26">
        <v>2</v>
      </c>
      <c r="M26">
        <v>1500</v>
      </c>
      <c r="N26">
        <v>0.2</v>
      </c>
      <c r="O26">
        <v>2400</v>
      </c>
      <c r="P26">
        <v>271.91000000000003</v>
      </c>
      <c r="Q26">
        <v>249.77</v>
      </c>
      <c r="R26" t="s">
        <v>64</v>
      </c>
    </row>
    <row r="27" spans="1:18" x14ac:dyDescent="0.3">
      <c r="A27" t="s">
        <v>160</v>
      </c>
      <c r="B27" s="4" t="s">
        <v>161</v>
      </c>
      <c r="C27" t="s">
        <v>162</v>
      </c>
      <c r="D27" t="s">
        <v>163</v>
      </c>
      <c r="E27" t="s">
        <v>52</v>
      </c>
      <c r="F27" t="s">
        <v>53</v>
      </c>
      <c r="G27" t="s">
        <v>54</v>
      </c>
      <c r="H27" t="s">
        <v>55</v>
      </c>
      <c r="I27" t="s">
        <v>26</v>
      </c>
      <c r="J27" t="s">
        <v>27</v>
      </c>
      <c r="K27" t="s">
        <v>76</v>
      </c>
      <c r="L27">
        <v>3</v>
      </c>
      <c r="M27">
        <v>75000</v>
      </c>
      <c r="N27">
        <v>0.2</v>
      </c>
      <c r="O27">
        <v>180000</v>
      </c>
      <c r="P27">
        <v>34416.1</v>
      </c>
      <c r="Q27">
        <v>180.55</v>
      </c>
      <c r="R27" t="s">
        <v>29</v>
      </c>
    </row>
    <row r="28" spans="1:18" x14ac:dyDescent="0.3">
      <c r="A28" t="s">
        <v>164</v>
      </c>
      <c r="B28" s="4" t="s">
        <v>165</v>
      </c>
      <c r="C28" t="s">
        <v>166</v>
      </c>
      <c r="D28" t="s">
        <v>167</v>
      </c>
      <c r="E28" t="s">
        <v>52</v>
      </c>
      <c r="F28" t="s">
        <v>106</v>
      </c>
      <c r="G28" t="s">
        <v>149</v>
      </c>
      <c r="H28" t="s">
        <v>150</v>
      </c>
      <c r="I28" t="s">
        <v>36</v>
      </c>
      <c r="J28" t="s">
        <v>140</v>
      </c>
      <c r="K28" t="s">
        <v>168</v>
      </c>
      <c r="L28">
        <v>3</v>
      </c>
      <c r="M28">
        <v>1800</v>
      </c>
      <c r="N28">
        <v>0.2</v>
      </c>
      <c r="O28">
        <v>4320</v>
      </c>
      <c r="P28">
        <v>1061.9000000000001</v>
      </c>
      <c r="Q28">
        <v>65.56</v>
      </c>
      <c r="R28" t="s">
        <v>64</v>
      </c>
    </row>
    <row r="29" spans="1:18" x14ac:dyDescent="0.3">
      <c r="A29" t="s">
        <v>169</v>
      </c>
      <c r="B29" s="4" t="s">
        <v>170</v>
      </c>
      <c r="C29" t="s">
        <v>171</v>
      </c>
      <c r="D29" t="s">
        <v>172</v>
      </c>
      <c r="E29" t="s">
        <v>22</v>
      </c>
      <c r="F29" t="s">
        <v>23</v>
      </c>
      <c r="G29" t="s">
        <v>74</v>
      </c>
      <c r="H29" t="s">
        <v>152</v>
      </c>
      <c r="I29" t="s">
        <v>47</v>
      </c>
      <c r="J29" t="s">
        <v>119</v>
      </c>
      <c r="K29" t="s">
        <v>173</v>
      </c>
      <c r="L29">
        <v>4</v>
      </c>
      <c r="M29">
        <v>1000</v>
      </c>
      <c r="N29">
        <v>0.1</v>
      </c>
      <c r="O29">
        <v>3600</v>
      </c>
      <c r="P29">
        <v>803.24</v>
      </c>
      <c r="Q29">
        <v>398.63</v>
      </c>
      <c r="R29" t="s">
        <v>57</v>
      </c>
    </row>
    <row r="30" spans="1:18" x14ac:dyDescent="0.3">
      <c r="A30" t="s">
        <v>174</v>
      </c>
      <c r="B30" s="4" t="s">
        <v>175</v>
      </c>
      <c r="C30" t="s">
        <v>32</v>
      </c>
      <c r="D30" t="s">
        <v>33</v>
      </c>
      <c r="E30" t="s">
        <v>52</v>
      </c>
      <c r="F30" t="s">
        <v>23</v>
      </c>
      <c r="G30" t="s">
        <v>24</v>
      </c>
      <c r="H30" t="s">
        <v>68</v>
      </c>
      <c r="I30" t="s">
        <v>47</v>
      </c>
      <c r="J30" t="s">
        <v>48</v>
      </c>
      <c r="K30" t="s">
        <v>97</v>
      </c>
      <c r="L30">
        <v>1</v>
      </c>
      <c r="M30">
        <v>1500</v>
      </c>
      <c r="N30">
        <v>0.05</v>
      </c>
      <c r="O30">
        <v>1425</v>
      </c>
      <c r="P30">
        <v>115.23</v>
      </c>
      <c r="Q30">
        <v>474.62</v>
      </c>
      <c r="R30" t="s">
        <v>57</v>
      </c>
    </row>
    <row r="31" spans="1:18" x14ac:dyDescent="0.3">
      <c r="A31" t="s">
        <v>176</v>
      </c>
      <c r="B31" s="4" t="s">
        <v>177</v>
      </c>
      <c r="C31" t="s">
        <v>178</v>
      </c>
      <c r="D31" t="s">
        <v>179</v>
      </c>
      <c r="E31" t="s">
        <v>22</v>
      </c>
      <c r="F31" t="s">
        <v>106</v>
      </c>
      <c r="G31" t="s">
        <v>149</v>
      </c>
      <c r="H31" t="s">
        <v>180</v>
      </c>
      <c r="I31" t="s">
        <v>26</v>
      </c>
      <c r="J31" t="s">
        <v>91</v>
      </c>
      <c r="K31" t="s">
        <v>153</v>
      </c>
      <c r="L31">
        <v>2</v>
      </c>
      <c r="M31">
        <v>800</v>
      </c>
      <c r="N31">
        <v>0</v>
      </c>
      <c r="O31">
        <v>1600</v>
      </c>
      <c r="P31">
        <v>426.45</v>
      </c>
      <c r="Q31">
        <v>66.02</v>
      </c>
      <c r="R31" t="s">
        <v>29</v>
      </c>
    </row>
    <row r="32" spans="1:18" x14ac:dyDescent="0.3">
      <c r="A32" t="s">
        <v>181</v>
      </c>
      <c r="B32" s="4" t="s">
        <v>182</v>
      </c>
      <c r="C32" t="s">
        <v>166</v>
      </c>
      <c r="D32" t="s">
        <v>167</v>
      </c>
      <c r="E32" t="s">
        <v>52</v>
      </c>
      <c r="F32" t="s">
        <v>23</v>
      </c>
      <c r="G32" t="s">
        <v>34</v>
      </c>
      <c r="H32" t="s">
        <v>35</v>
      </c>
      <c r="I32" t="s">
        <v>26</v>
      </c>
      <c r="J32" t="s">
        <v>69</v>
      </c>
      <c r="K32" t="s">
        <v>136</v>
      </c>
      <c r="L32">
        <v>1</v>
      </c>
      <c r="M32">
        <v>42000</v>
      </c>
      <c r="N32">
        <v>0</v>
      </c>
      <c r="O32">
        <v>42000</v>
      </c>
      <c r="P32">
        <v>7576.48</v>
      </c>
      <c r="Q32">
        <v>154.68</v>
      </c>
      <c r="R32" t="s">
        <v>29</v>
      </c>
    </row>
    <row r="33" spans="1:18" x14ac:dyDescent="0.3">
      <c r="A33" t="s">
        <v>183</v>
      </c>
      <c r="B33" s="4" t="s">
        <v>184</v>
      </c>
      <c r="C33" t="s">
        <v>185</v>
      </c>
      <c r="D33" t="s">
        <v>186</v>
      </c>
      <c r="E33" t="s">
        <v>52</v>
      </c>
      <c r="F33" t="s">
        <v>53</v>
      </c>
      <c r="G33" t="s">
        <v>100</v>
      </c>
      <c r="H33" t="s">
        <v>101</v>
      </c>
      <c r="I33" t="s">
        <v>26</v>
      </c>
      <c r="J33" t="s">
        <v>27</v>
      </c>
      <c r="K33" t="s">
        <v>187</v>
      </c>
      <c r="L33">
        <v>2</v>
      </c>
      <c r="M33">
        <v>18000</v>
      </c>
      <c r="N33">
        <v>0</v>
      </c>
      <c r="O33">
        <v>36000</v>
      </c>
      <c r="P33">
        <v>8934.49</v>
      </c>
      <c r="Q33">
        <v>165.44</v>
      </c>
      <c r="R33" t="s">
        <v>39</v>
      </c>
    </row>
    <row r="34" spans="1:18" x14ac:dyDescent="0.3">
      <c r="A34" t="s">
        <v>188</v>
      </c>
      <c r="B34" s="4" t="s">
        <v>189</v>
      </c>
      <c r="C34" t="s">
        <v>171</v>
      </c>
      <c r="D34" t="s">
        <v>172</v>
      </c>
      <c r="E34" t="s">
        <v>22</v>
      </c>
      <c r="F34" t="s">
        <v>23</v>
      </c>
      <c r="G34" t="s">
        <v>74</v>
      </c>
      <c r="H34" t="s">
        <v>75</v>
      </c>
      <c r="I34" t="s">
        <v>47</v>
      </c>
      <c r="J34" t="s">
        <v>119</v>
      </c>
      <c r="K34" t="s">
        <v>120</v>
      </c>
      <c r="L34">
        <v>1</v>
      </c>
      <c r="M34">
        <v>1800</v>
      </c>
      <c r="N34">
        <v>0</v>
      </c>
      <c r="O34">
        <v>1800</v>
      </c>
      <c r="P34">
        <v>234.18</v>
      </c>
      <c r="Q34">
        <v>395.2</v>
      </c>
      <c r="R34" t="s">
        <v>64</v>
      </c>
    </row>
    <row r="35" spans="1:18" x14ac:dyDescent="0.3">
      <c r="A35" t="s">
        <v>190</v>
      </c>
      <c r="B35" s="4" t="s">
        <v>191</v>
      </c>
      <c r="C35" t="s">
        <v>20</v>
      </c>
      <c r="D35" t="s">
        <v>21</v>
      </c>
      <c r="E35" t="s">
        <v>52</v>
      </c>
      <c r="F35" t="s">
        <v>44</v>
      </c>
      <c r="G35" t="s">
        <v>192</v>
      </c>
      <c r="H35" t="s">
        <v>193</v>
      </c>
      <c r="I35" t="s">
        <v>26</v>
      </c>
      <c r="J35" t="s">
        <v>69</v>
      </c>
      <c r="K35" t="s">
        <v>80</v>
      </c>
      <c r="L35">
        <v>1</v>
      </c>
      <c r="M35">
        <v>50000</v>
      </c>
      <c r="N35">
        <v>0.15</v>
      </c>
      <c r="O35">
        <v>42500</v>
      </c>
      <c r="P35">
        <v>5889.25</v>
      </c>
      <c r="Q35">
        <v>170.7</v>
      </c>
      <c r="R35" t="s">
        <v>64</v>
      </c>
    </row>
    <row r="36" spans="1:18" x14ac:dyDescent="0.3">
      <c r="A36" t="s">
        <v>194</v>
      </c>
      <c r="B36" s="4" t="s">
        <v>195</v>
      </c>
      <c r="C36" t="s">
        <v>162</v>
      </c>
      <c r="D36" t="s">
        <v>163</v>
      </c>
      <c r="E36" t="s">
        <v>22</v>
      </c>
      <c r="F36" t="s">
        <v>106</v>
      </c>
      <c r="G36" t="s">
        <v>149</v>
      </c>
      <c r="H36" t="s">
        <v>150</v>
      </c>
      <c r="I36" t="s">
        <v>47</v>
      </c>
      <c r="J36" t="s">
        <v>48</v>
      </c>
      <c r="K36" t="s">
        <v>196</v>
      </c>
      <c r="L36">
        <v>3</v>
      </c>
      <c r="M36">
        <v>2500</v>
      </c>
      <c r="N36">
        <v>0.05</v>
      </c>
      <c r="O36">
        <v>7125</v>
      </c>
      <c r="P36">
        <v>772.77</v>
      </c>
      <c r="Q36">
        <v>187.28</v>
      </c>
      <c r="R36" t="s">
        <v>64</v>
      </c>
    </row>
    <row r="37" spans="1:18" x14ac:dyDescent="0.3">
      <c r="A37" t="s">
        <v>197</v>
      </c>
      <c r="B37" s="4" t="s">
        <v>184</v>
      </c>
      <c r="C37" t="s">
        <v>117</v>
      </c>
      <c r="D37" t="s">
        <v>118</v>
      </c>
      <c r="E37" t="s">
        <v>52</v>
      </c>
      <c r="F37" t="s">
        <v>44</v>
      </c>
      <c r="G37" t="s">
        <v>45</v>
      </c>
      <c r="H37" t="s">
        <v>198</v>
      </c>
      <c r="I37" t="s">
        <v>26</v>
      </c>
      <c r="J37" t="s">
        <v>91</v>
      </c>
      <c r="K37" t="s">
        <v>199</v>
      </c>
      <c r="L37">
        <v>4</v>
      </c>
      <c r="M37">
        <v>3500</v>
      </c>
      <c r="N37">
        <v>0</v>
      </c>
      <c r="O37">
        <v>14000</v>
      </c>
      <c r="P37">
        <v>2124.7399999999998</v>
      </c>
      <c r="Q37">
        <v>193.09</v>
      </c>
      <c r="R37" t="s">
        <v>29</v>
      </c>
    </row>
    <row r="38" spans="1:18" x14ac:dyDescent="0.3">
      <c r="A38" t="s">
        <v>200</v>
      </c>
      <c r="B38" s="4" t="s">
        <v>189</v>
      </c>
      <c r="C38" t="s">
        <v>78</v>
      </c>
      <c r="D38" t="s">
        <v>79</v>
      </c>
      <c r="E38" t="s">
        <v>52</v>
      </c>
      <c r="F38" t="s">
        <v>44</v>
      </c>
      <c r="G38" t="s">
        <v>192</v>
      </c>
      <c r="H38" t="s">
        <v>201</v>
      </c>
      <c r="I38" t="s">
        <v>26</v>
      </c>
      <c r="J38" t="s">
        <v>27</v>
      </c>
      <c r="K38" t="s">
        <v>56</v>
      </c>
      <c r="L38">
        <v>3</v>
      </c>
      <c r="M38">
        <v>55000</v>
      </c>
      <c r="N38">
        <v>0.1</v>
      </c>
      <c r="O38">
        <v>148500</v>
      </c>
      <c r="P38">
        <v>19480.810000000001</v>
      </c>
      <c r="Q38">
        <v>473.64</v>
      </c>
      <c r="R38" t="s">
        <v>39</v>
      </c>
    </row>
    <row r="39" spans="1:18" x14ac:dyDescent="0.3">
      <c r="A39" t="s">
        <v>202</v>
      </c>
      <c r="B39" s="4" t="s">
        <v>165</v>
      </c>
      <c r="C39" t="s">
        <v>60</v>
      </c>
      <c r="D39" t="s">
        <v>61</v>
      </c>
      <c r="E39" t="s">
        <v>22</v>
      </c>
      <c r="F39" t="s">
        <v>53</v>
      </c>
      <c r="G39" t="s">
        <v>54</v>
      </c>
      <c r="H39" t="s">
        <v>203</v>
      </c>
      <c r="I39" t="s">
        <v>36</v>
      </c>
      <c r="J39" t="s">
        <v>140</v>
      </c>
      <c r="K39" t="s">
        <v>141</v>
      </c>
      <c r="L39">
        <v>4</v>
      </c>
      <c r="M39">
        <v>2200</v>
      </c>
      <c r="N39">
        <v>0.1</v>
      </c>
      <c r="O39">
        <v>7920</v>
      </c>
      <c r="P39">
        <v>2021.31</v>
      </c>
      <c r="Q39">
        <v>395.45</v>
      </c>
      <c r="R39" t="s">
        <v>64</v>
      </c>
    </row>
    <row r="40" spans="1:18" x14ac:dyDescent="0.3">
      <c r="A40" t="s">
        <v>204</v>
      </c>
      <c r="B40" s="4" t="s">
        <v>161</v>
      </c>
      <c r="C40" t="s">
        <v>185</v>
      </c>
      <c r="D40" t="s">
        <v>186</v>
      </c>
      <c r="E40" t="s">
        <v>67</v>
      </c>
      <c r="F40" t="s">
        <v>44</v>
      </c>
      <c r="G40" t="s">
        <v>45</v>
      </c>
      <c r="H40" t="s">
        <v>198</v>
      </c>
      <c r="I40" t="s">
        <v>26</v>
      </c>
      <c r="J40" t="s">
        <v>27</v>
      </c>
      <c r="K40" t="s">
        <v>56</v>
      </c>
      <c r="L40">
        <v>3</v>
      </c>
      <c r="M40">
        <v>55000</v>
      </c>
      <c r="N40">
        <v>0</v>
      </c>
      <c r="O40">
        <v>165000</v>
      </c>
      <c r="P40">
        <v>33690.32</v>
      </c>
      <c r="Q40">
        <v>171.94</v>
      </c>
      <c r="R40" t="s">
        <v>64</v>
      </c>
    </row>
    <row r="41" spans="1:18" x14ac:dyDescent="0.3">
      <c r="A41" t="s">
        <v>205</v>
      </c>
      <c r="B41" s="4" t="s">
        <v>170</v>
      </c>
      <c r="C41" t="s">
        <v>206</v>
      </c>
      <c r="D41" t="s">
        <v>207</v>
      </c>
      <c r="E41" t="s">
        <v>52</v>
      </c>
      <c r="F41" t="s">
        <v>23</v>
      </c>
      <c r="G41" t="s">
        <v>34</v>
      </c>
      <c r="H41" t="s">
        <v>62</v>
      </c>
      <c r="I41" t="s">
        <v>47</v>
      </c>
      <c r="J41" t="s">
        <v>119</v>
      </c>
      <c r="K41" t="s">
        <v>208</v>
      </c>
      <c r="L41">
        <v>5</v>
      </c>
      <c r="M41">
        <v>600</v>
      </c>
      <c r="N41">
        <v>0.15</v>
      </c>
      <c r="O41">
        <v>2550</v>
      </c>
      <c r="P41">
        <v>337.58</v>
      </c>
      <c r="Q41">
        <v>399.52</v>
      </c>
      <c r="R41" t="s">
        <v>39</v>
      </c>
    </row>
    <row r="42" spans="1:18" x14ac:dyDescent="0.3">
      <c r="A42" t="s">
        <v>209</v>
      </c>
      <c r="B42" s="4" t="s">
        <v>210</v>
      </c>
      <c r="C42" t="s">
        <v>211</v>
      </c>
      <c r="D42" t="s">
        <v>212</v>
      </c>
      <c r="E42" t="s">
        <v>67</v>
      </c>
      <c r="F42" t="s">
        <v>53</v>
      </c>
      <c r="G42" t="s">
        <v>100</v>
      </c>
      <c r="H42" t="s">
        <v>213</v>
      </c>
      <c r="I42" t="s">
        <v>47</v>
      </c>
      <c r="J42" t="s">
        <v>85</v>
      </c>
      <c r="K42" t="s">
        <v>102</v>
      </c>
      <c r="L42">
        <v>2</v>
      </c>
      <c r="M42">
        <v>3200</v>
      </c>
      <c r="N42">
        <v>0.1</v>
      </c>
      <c r="O42">
        <v>5760</v>
      </c>
      <c r="P42">
        <v>1259.9100000000001</v>
      </c>
      <c r="Q42">
        <v>465.17</v>
      </c>
      <c r="R42" t="s">
        <v>39</v>
      </c>
    </row>
    <row r="43" spans="1:18" x14ac:dyDescent="0.3">
      <c r="A43" t="s">
        <v>214</v>
      </c>
      <c r="B43" s="4" t="s">
        <v>215</v>
      </c>
      <c r="C43" t="s">
        <v>89</v>
      </c>
      <c r="D43" t="s">
        <v>90</v>
      </c>
      <c r="E43" t="s">
        <v>52</v>
      </c>
      <c r="F43" t="s">
        <v>44</v>
      </c>
      <c r="G43" t="s">
        <v>216</v>
      </c>
      <c r="H43" t="s">
        <v>217</v>
      </c>
      <c r="I43" t="s">
        <v>47</v>
      </c>
      <c r="J43" t="s">
        <v>119</v>
      </c>
      <c r="K43" t="s">
        <v>173</v>
      </c>
      <c r="L43">
        <v>3</v>
      </c>
      <c r="M43">
        <v>1000</v>
      </c>
      <c r="N43">
        <v>0.1</v>
      </c>
      <c r="O43">
        <v>2700</v>
      </c>
      <c r="P43">
        <v>261.95999999999998</v>
      </c>
      <c r="Q43">
        <v>58.93</v>
      </c>
      <c r="R43" t="s">
        <v>39</v>
      </c>
    </row>
    <row r="44" spans="1:18" x14ac:dyDescent="0.3">
      <c r="A44" t="s">
        <v>218</v>
      </c>
      <c r="B44" s="4" t="s">
        <v>219</v>
      </c>
      <c r="C44" t="s">
        <v>72</v>
      </c>
      <c r="D44" t="s">
        <v>73</v>
      </c>
      <c r="E44" t="s">
        <v>67</v>
      </c>
      <c r="F44" t="s">
        <v>23</v>
      </c>
      <c r="G44" t="s">
        <v>34</v>
      </c>
      <c r="H44" t="s">
        <v>62</v>
      </c>
      <c r="I44" t="s">
        <v>36</v>
      </c>
      <c r="J44" t="s">
        <v>113</v>
      </c>
      <c r="K44" t="s">
        <v>220</v>
      </c>
      <c r="L44">
        <v>1</v>
      </c>
      <c r="M44">
        <v>1800</v>
      </c>
      <c r="N44">
        <v>0</v>
      </c>
      <c r="O44">
        <v>1800</v>
      </c>
      <c r="P44">
        <v>187.69</v>
      </c>
      <c r="Q44">
        <v>194.19</v>
      </c>
      <c r="R44" t="s">
        <v>57</v>
      </c>
    </row>
    <row r="45" spans="1:18" x14ac:dyDescent="0.3">
      <c r="A45" t="s">
        <v>221</v>
      </c>
      <c r="B45" s="4" t="s">
        <v>222</v>
      </c>
      <c r="C45" t="s">
        <v>134</v>
      </c>
      <c r="D45" t="s">
        <v>135</v>
      </c>
      <c r="E45" t="s">
        <v>52</v>
      </c>
      <c r="F45" t="s">
        <v>44</v>
      </c>
      <c r="G45" t="s">
        <v>45</v>
      </c>
      <c r="H45" t="s">
        <v>46</v>
      </c>
      <c r="I45" t="s">
        <v>26</v>
      </c>
      <c r="J45" t="s">
        <v>27</v>
      </c>
      <c r="K45" t="s">
        <v>28</v>
      </c>
      <c r="L45">
        <v>2</v>
      </c>
      <c r="M45">
        <v>40000</v>
      </c>
      <c r="N45">
        <v>0.15</v>
      </c>
      <c r="O45">
        <v>68000</v>
      </c>
      <c r="P45">
        <v>11089.05</v>
      </c>
      <c r="Q45">
        <v>189.39</v>
      </c>
      <c r="R45" t="s">
        <v>57</v>
      </c>
    </row>
    <row r="46" spans="1:18" x14ac:dyDescent="0.3">
      <c r="A46" t="s">
        <v>223</v>
      </c>
      <c r="B46" s="4" t="s">
        <v>224</v>
      </c>
      <c r="C46" t="s">
        <v>32</v>
      </c>
      <c r="D46" t="s">
        <v>33</v>
      </c>
      <c r="E46" t="s">
        <v>67</v>
      </c>
      <c r="F46" t="s">
        <v>44</v>
      </c>
      <c r="G46" t="s">
        <v>192</v>
      </c>
      <c r="H46" t="s">
        <v>193</v>
      </c>
      <c r="I46" t="s">
        <v>36</v>
      </c>
      <c r="J46" t="s">
        <v>140</v>
      </c>
      <c r="K46" t="s">
        <v>168</v>
      </c>
      <c r="L46">
        <v>2</v>
      </c>
      <c r="M46">
        <v>1800</v>
      </c>
      <c r="N46">
        <v>0.2</v>
      </c>
      <c r="O46">
        <v>2880</v>
      </c>
      <c r="P46">
        <v>388.3</v>
      </c>
      <c r="Q46">
        <v>105.64</v>
      </c>
      <c r="R46" t="s">
        <v>39</v>
      </c>
    </row>
    <row r="47" spans="1:18" x14ac:dyDescent="0.3">
      <c r="A47" t="s">
        <v>225</v>
      </c>
      <c r="B47" s="4" t="s">
        <v>226</v>
      </c>
      <c r="C47" t="s">
        <v>89</v>
      </c>
      <c r="D47" t="s">
        <v>90</v>
      </c>
      <c r="E47" t="s">
        <v>52</v>
      </c>
      <c r="F47" t="s">
        <v>106</v>
      </c>
      <c r="G47" t="s">
        <v>107</v>
      </c>
      <c r="H47" t="s">
        <v>108</v>
      </c>
      <c r="I47" t="s">
        <v>26</v>
      </c>
      <c r="J47" t="s">
        <v>91</v>
      </c>
      <c r="K47" t="s">
        <v>92</v>
      </c>
      <c r="L47">
        <v>4</v>
      </c>
      <c r="M47">
        <v>1200</v>
      </c>
      <c r="N47">
        <v>0</v>
      </c>
      <c r="O47">
        <v>4800</v>
      </c>
      <c r="P47">
        <v>864.1</v>
      </c>
      <c r="Q47">
        <v>335.53</v>
      </c>
      <c r="R47" t="s">
        <v>29</v>
      </c>
    </row>
    <row r="48" spans="1:18" x14ac:dyDescent="0.3">
      <c r="A48" t="s">
        <v>227</v>
      </c>
      <c r="B48" s="4" t="s">
        <v>228</v>
      </c>
      <c r="C48" t="s">
        <v>72</v>
      </c>
      <c r="D48" t="s">
        <v>73</v>
      </c>
      <c r="E48" t="s">
        <v>52</v>
      </c>
      <c r="F48" t="s">
        <v>106</v>
      </c>
      <c r="G48" t="s">
        <v>107</v>
      </c>
      <c r="H48" t="s">
        <v>139</v>
      </c>
      <c r="I48" t="s">
        <v>36</v>
      </c>
      <c r="J48" t="s">
        <v>37</v>
      </c>
      <c r="K48" t="s">
        <v>229</v>
      </c>
      <c r="L48">
        <v>3</v>
      </c>
      <c r="M48">
        <v>18000</v>
      </c>
      <c r="N48">
        <v>0.1</v>
      </c>
      <c r="O48">
        <v>48600</v>
      </c>
      <c r="P48">
        <v>8903.9699999999993</v>
      </c>
      <c r="Q48">
        <v>152.06</v>
      </c>
      <c r="R48" t="s">
        <v>29</v>
      </c>
    </row>
    <row r="49" spans="1:18" x14ac:dyDescent="0.3">
      <c r="A49" t="s">
        <v>230</v>
      </c>
      <c r="B49" s="4" t="s">
        <v>231</v>
      </c>
      <c r="C49" t="s">
        <v>72</v>
      </c>
      <c r="D49" t="s">
        <v>73</v>
      </c>
      <c r="E49" t="s">
        <v>22</v>
      </c>
      <c r="F49" t="s">
        <v>44</v>
      </c>
      <c r="G49" t="s">
        <v>45</v>
      </c>
      <c r="H49" t="s">
        <v>96</v>
      </c>
      <c r="I49" t="s">
        <v>36</v>
      </c>
      <c r="J49" t="s">
        <v>37</v>
      </c>
      <c r="K49" t="s">
        <v>125</v>
      </c>
      <c r="L49">
        <v>4</v>
      </c>
      <c r="M49">
        <v>8500</v>
      </c>
      <c r="N49">
        <v>0</v>
      </c>
      <c r="O49">
        <v>34000</v>
      </c>
      <c r="P49">
        <v>5615.16</v>
      </c>
      <c r="Q49">
        <v>98</v>
      </c>
      <c r="R49" t="s">
        <v>39</v>
      </c>
    </row>
    <row r="50" spans="1:18" x14ac:dyDescent="0.3">
      <c r="A50" t="s">
        <v>232</v>
      </c>
      <c r="B50" s="4" t="s">
        <v>233</v>
      </c>
      <c r="C50" t="s">
        <v>166</v>
      </c>
      <c r="D50" t="s">
        <v>167</v>
      </c>
      <c r="E50" t="s">
        <v>52</v>
      </c>
      <c r="F50" t="s">
        <v>106</v>
      </c>
      <c r="G50" t="s">
        <v>149</v>
      </c>
      <c r="H50" t="s">
        <v>234</v>
      </c>
      <c r="I50" t="s">
        <v>26</v>
      </c>
      <c r="J50" t="s">
        <v>91</v>
      </c>
      <c r="K50" t="s">
        <v>92</v>
      </c>
      <c r="L50">
        <v>3</v>
      </c>
      <c r="M50">
        <v>1200</v>
      </c>
      <c r="N50">
        <v>0</v>
      </c>
      <c r="O50">
        <v>3600</v>
      </c>
      <c r="P50">
        <v>882.87</v>
      </c>
      <c r="Q50">
        <v>354.47</v>
      </c>
      <c r="R50" t="s">
        <v>57</v>
      </c>
    </row>
    <row r="51" spans="1:18" x14ac:dyDescent="0.3">
      <c r="A51" t="s">
        <v>235</v>
      </c>
      <c r="B51" s="4" t="s">
        <v>236</v>
      </c>
      <c r="C51" t="s">
        <v>206</v>
      </c>
      <c r="D51" t="s">
        <v>207</v>
      </c>
      <c r="E51" t="s">
        <v>52</v>
      </c>
      <c r="F51" t="s">
        <v>106</v>
      </c>
      <c r="G51" t="s">
        <v>149</v>
      </c>
      <c r="H51" t="s">
        <v>234</v>
      </c>
      <c r="I51" t="s">
        <v>47</v>
      </c>
      <c r="J51" t="s">
        <v>85</v>
      </c>
      <c r="K51" t="s">
        <v>86</v>
      </c>
      <c r="L51">
        <v>5</v>
      </c>
      <c r="M51">
        <v>3500</v>
      </c>
      <c r="N51">
        <v>0</v>
      </c>
      <c r="O51">
        <v>17500</v>
      </c>
      <c r="P51">
        <v>2950.52</v>
      </c>
      <c r="Q51">
        <v>484.85</v>
      </c>
      <c r="R51" t="s">
        <v>29</v>
      </c>
    </row>
    <row r="52" spans="1:18" x14ac:dyDescent="0.3">
      <c r="A52" t="s">
        <v>237</v>
      </c>
      <c r="B52" s="4" t="s">
        <v>238</v>
      </c>
      <c r="C52" t="s">
        <v>206</v>
      </c>
      <c r="D52" t="s">
        <v>207</v>
      </c>
      <c r="E52" t="s">
        <v>67</v>
      </c>
      <c r="F52" t="s">
        <v>23</v>
      </c>
      <c r="G52" t="s">
        <v>34</v>
      </c>
      <c r="H52" t="s">
        <v>239</v>
      </c>
      <c r="I52" t="s">
        <v>26</v>
      </c>
      <c r="J52" t="s">
        <v>91</v>
      </c>
      <c r="K52" t="s">
        <v>92</v>
      </c>
      <c r="L52">
        <v>5</v>
      </c>
      <c r="M52">
        <v>1200</v>
      </c>
      <c r="N52">
        <v>0.15</v>
      </c>
      <c r="O52">
        <v>5100</v>
      </c>
      <c r="P52">
        <v>1340.21</v>
      </c>
      <c r="Q52">
        <v>432.87</v>
      </c>
      <c r="R52" t="s">
        <v>29</v>
      </c>
    </row>
    <row r="53" spans="1:18" x14ac:dyDescent="0.3">
      <c r="A53" t="s">
        <v>240</v>
      </c>
      <c r="B53" s="4" t="s">
        <v>241</v>
      </c>
      <c r="C53" t="s">
        <v>242</v>
      </c>
      <c r="D53" t="s">
        <v>243</v>
      </c>
      <c r="E53" t="s">
        <v>52</v>
      </c>
      <c r="F53" t="s">
        <v>106</v>
      </c>
      <c r="G53" t="s">
        <v>107</v>
      </c>
      <c r="H53" t="s">
        <v>139</v>
      </c>
      <c r="I53" t="s">
        <v>36</v>
      </c>
      <c r="J53" t="s">
        <v>113</v>
      </c>
      <c r="K53" t="s">
        <v>220</v>
      </c>
      <c r="L53">
        <v>3</v>
      </c>
      <c r="M53">
        <v>1800</v>
      </c>
      <c r="N53">
        <v>0</v>
      </c>
      <c r="O53">
        <v>5400</v>
      </c>
      <c r="P53">
        <v>449.73</v>
      </c>
      <c r="Q53">
        <v>317.07</v>
      </c>
      <c r="R53" t="s">
        <v>57</v>
      </c>
    </row>
    <row r="54" spans="1:18" x14ac:dyDescent="0.3">
      <c r="A54" t="s">
        <v>244</v>
      </c>
      <c r="B54" s="4" t="s">
        <v>245</v>
      </c>
      <c r="C54" t="s">
        <v>32</v>
      </c>
      <c r="D54" t="s">
        <v>33</v>
      </c>
      <c r="E54" t="s">
        <v>52</v>
      </c>
      <c r="F54" t="s">
        <v>44</v>
      </c>
      <c r="G54" t="s">
        <v>216</v>
      </c>
      <c r="H54" t="s">
        <v>217</v>
      </c>
      <c r="I54" t="s">
        <v>36</v>
      </c>
      <c r="J54" t="s">
        <v>113</v>
      </c>
      <c r="K54" t="s">
        <v>246</v>
      </c>
      <c r="L54">
        <v>3</v>
      </c>
      <c r="M54">
        <v>1200</v>
      </c>
      <c r="N54">
        <v>0</v>
      </c>
      <c r="O54">
        <v>3600</v>
      </c>
      <c r="P54">
        <v>686.57</v>
      </c>
      <c r="Q54">
        <v>361.87</v>
      </c>
      <c r="R54" t="s">
        <v>39</v>
      </c>
    </row>
    <row r="55" spans="1:18" x14ac:dyDescent="0.3">
      <c r="A55" t="s">
        <v>247</v>
      </c>
      <c r="B55" s="4" t="s">
        <v>248</v>
      </c>
      <c r="C55" t="s">
        <v>78</v>
      </c>
      <c r="D55" t="s">
        <v>79</v>
      </c>
      <c r="E55" t="s">
        <v>67</v>
      </c>
      <c r="F55" t="s">
        <v>44</v>
      </c>
      <c r="G55" t="s">
        <v>216</v>
      </c>
      <c r="H55" t="s">
        <v>217</v>
      </c>
      <c r="I55" t="s">
        <v>47</v>
      </c>
      <c r="J55" t="s">
        <v>48</v>
      </c>
      <c r="K55" t="s">
        <v>196</v>
      </c>
      <c r="L55">
        <v>1</v>
      </c>
      <c r="M55">
        <v>2500</v>
      </c>
      <c r="N55">
        <v>0</v>
      </c>
      <c r="O55">
        <v>2500</v>
      </c>
      <c r="P55">
        <v>514.37</v>
      </c>
      <c r="Q55">
        <v>263.68</v>
      </c>
      <c r="R55" t="s">
        <v>29</v>
      </c>
    </row>
    <row r="56" spans="1:18" x14ac:dyDescent="0.3">
      <c r="A56" t="s">
        <v>249</v>
      </c>
      <c r="B56" s="4" t="s">
        <v>250</v>
      </c>
      <c r="C56" t="s">
        <v>78</v>
      </c>
      <c r="D56" t="s">
        <v>79</v>
      </c>
      <c r="E56" t="s">
        <v>22</v>
      </c>
      <c r="F56" t="s">
        <v>53</v>
      </c>
      <c r="G56" t="s">
        <v>83</v>
      </c>
      <c r="H56" t="s">
        <v>251</v>
      </c>
      <c r="I56" t="s">
        <v>36</v>
      </c>
      <c r="J56" t="s">
        <v>140</v>
      </c>
      <c r="K56" t="s">
        <v>168</v>
      </c>
      <c r="L56">
        <v>1</v>
      </c>
      <c r="M56">
        <v>1800</v>
      </c>
      <c r="N56">
        <v>0</v>
      </c>
      <c r="O56">
        <v>1800</v>
      </c>
      <c r="P56">
        <v>497.44</v>
      </c>
      <c r="Q56">
        <v>208.28</v>
      </c>
      <c r="R56" t="s">
        <v>39</v>
      </c>
    </row>
    <row r="57" spans="1:18" x14ac:dyDescent="0.3">
      <c r="A57" t="s">
        <v>252</v>
      </c>
      <c r="B57" s="4" t="s">
        <v>253</v>
      </c>
      <c r="C57" t="s">
        <v>157</v>
      </c>
      <c r="D57" t="s">
        <v>158</v>
      </c>
      <c r="E57" t="s">
        <v>52</v>
      </c>
      <c r="F57" t="s">
        <v>44</v>
      </c>
      <c r="G57" t="s">
        <v>45</v>
      </c>
      <c r="H57" t="s">
        <v>96</v>
      </c>
      <c r="I57" t="s">
        <v>47</v>
      </c>
      <c r="J57" t="s">
        <v>119</v>
      </c>
      <c r="K57" t="s">
        <v>254</v>
      </c>
      <c r="L57">
        <v>5</v>
      </c>
      <c r="M57">
        <v>1200</v>
      </c>
      <c r="N57">
        <v>0</v>
      </c>
      <c r="O57">
        <v>6000</v>
      </c>
      <c r="P57">
        <v>1205.3</v>
      </c>
      <c r="Q57">
        <v>489.51</v>
      </c>
      <c r="R57" t="s">
        <v>64</v>
      </c>
    </row>
    <row r="58" spans="1:18" x14ac:dyDescent="0.3">
      <c r="A58" t="s">
        <v>255</v>
      </c>
      <c r="B58" s="4" t="s">
        <v>256</v>
      </c>
      <c r="C58" t="s">
        <v>72</v>
      </c>
      <c r="D58" t="s">
        <v>73</v>
      </c>
      <c r="E58" t="s">
        <v>52</v>
      </c>
      <c r="F58" t="s">
        <v>23</v>
      </c>
      <c r="G58" t="s">
        <v>34</v>
      </c>
      <c r="H58" t="s">
        <v>62</v>
      </c>
      <c r="I58" t="s">
        <v>36</v>
      </c>
      <c r="J58" t="s">
        <v>37</v>
      </c>
      <c r="K58" t="s">
        <v>229</v>
      </c>
      <c r="L58">
        <v>5</v>
      </c>
      <c r="M58">
        <v>18000</v>
      </c>
      <c r="N58">
        <v>0.1</v>
      </c>
      <c r="O58">
        <v>81000</v>
      </c>
      <c r="P58">
        <v>10728.58</v>
      </c>
      <c r="Q58">
        <v>161.13</v>
      </c>
      <c r="R58" t="s">
        <v>57</v>
      </c>
    </row>
    <row r="59" spans="1:18" x14ac:dyDescent="0.3">
      <c r="A59" t="s">
        <v>257</v>
      </c>
      <c r="B59" s="4" t="s">
        <v>253</v>
      </c>
      <c r="C59" t="s">
        <v>94</v>
      </c>
      <c r="D59" t="s">
        <v>95</v>
      </c>
      <c r="E59" t="s">
        <v>67</v>
      </c>
      <c r="F59" t="s">
        <v>53</v>
      </c>
      <c r="G59" t="s">
        <v>54</v>
      </c>
      <c r="H59" t="s">
        <v>55</v>
      </c>
      <c r="I59" t="s">
        <v>26</v>
      </c>
      <c r="J59" t="s">
        <v>69</v>
      </c>
      <c r="K59" t="s">
        <v>80</v>
      </c>
      <c r="L59">
        <v>4</v>
      </c>
      <c r="M59">
        <v>50000</v>
      </c>
      <c r="N59">
        <v>0.15</v>
      </c>
      <c r="O59">
        <v>170000</v>
      </c>
      <c r="P59">
        <v>15854.03</v>
      </c>
      <c r="Q59">
        <v>445.87</v>
      </c>
      <c r="R59" t="s">
        <v>57</v>
      </c>
    </row>
    <row r="60" spans="1:18" x14ac:dyDescent="0.3">
      <c r="A60" t="s">
        <v>258</v>
      </c>
      <c r="B60" s="4" t="s">
        <v>259</v>
      </c>
      <c r="C60" t="s">
        <v>42</v>
      </c>
      <c r="D60" t="s">
        <v>43</v>
      </c>
      <c r="E60" t="s">
        <v>52</v>
      </c>
      <c r="F60" t="s">
        <v>23</v>
      </c>
      <c r="G60" t="s">
        <v>34</v>
      </c>
      <c r="H60" t="s">
        <v>239</v>
      </c>
      <c r="I60" t="s">
        <v>47</v>
      </c>
      <c r="J60" t="s">
        <v>119</v>
      </c>
      <c r="K60" t="s">
        <v>254</v>
      </c>
      <c r="L60">
        <v>3</v>
      </c>
      <c r="M60">
        <v>1200</v>
      </c>
      <c r="N60">
        <v>0.2</v>
      </c>
      <c r="O60">
        <v>2880</v>
      </c>
      <c r="P60">
        <v>656.84</v>
      </c>
      <c r="Q60">
        <v>489.72</v>
      </c>
      <c r="R60" t="s">
        <v>39</v>
      </c>
    </row>
    <row r="61" spans="1:18" x14ac:dyDescent="0.3">
      <c r="A61" t="s">
        <v>260</v>
      </c>
      <c r="B61" s="4" t="s">
        <v>261</v>
      </c>
      <c r="C61" t="s">
        <v>20</v>
      </c>
      <c r="D61" t="s">
        <v>21</v>
      </c>
      <c r="E61" t="s">
        <v>22</v>
      </c>
      <c r="F61" t="s">
        <v>44</v>
      </c>
      <c r="G61" t="s">
        <v>45</v>
      </c>
      <c r="H61" t="s">
        <v>198</v>
      </c>
      <c r="I61" t="s">
        <v>36</v>
      </c>
      <c r="J61" t="s">
        <v>113</v>
      </c>
      <c r="K61" t="s">
        <v>262</v>
      </c>
      <c r="L61">
        <v>4</v>
      </c>
      <c r="M61">
        <v>2500</v>
      </c>
      <c r="N61">
        <v>0.15</v>
      </c>
      <c r="O61">
        <v>8500</v>
      </c>
      <c r="P61">
        <v>1901</v>
      </c>
      <c r="Q61">
        <v>147.47999999999999</v>
      </c>
      <c r="R61" t="s">
        <v>39</v>
      </c>
    </row>
    <row r="62" spans="1:18" x14ac:dyDescent="0.3">
      <c r="A62" t="s">
        <v>263</v>
      </c>
      <c r="B62" s="4" t="s">
        <v>264</v>
      </c>
      <c r="C62" t="s">
        <v>171</v>
      </c>
      <c r="D62" t="s">
        <v>172</v>
      </c>
      <c r="E62" t="s">
        <v>52</v>
      </c>
      <c r="F62" t="s">
        <v>53</v>
      </c>
      <c r="G62" t="s">
        <v>54</v>
      </c>
      <c r="H62" t="s">
        <v>112</v>
      </c>
      <c r="I62" t="s">
        <v>36</v>
      </c>
      <c r="J62" t="s">
        <v>140</v>
      </c>
      <c r="K62" t="s">
        <v>168</v>
      </c>
      <c r="L62">
        <v>5</v>
      </c>
      <c r="M62">
        <v>1800</v>
      </c>
      <c r="N62">
        <v>0</v>
      </c>
      <c r="O62">
        <v>9000</v>
      </c>
      <c r="P62">
        <v>2106.34</v>
      </c>
      <c r="Q62">
        <v>375.04</v>
      </c>
      <c r="R62" t="s">
        <v>39</v>
      </c>
    </row>
    <row r="63" spans="1:18" x14ac:dyDescent="0.3">
      <c r="A63" t="s">
        <v>265</v>
      </c>
      <c r="B63" s="4" t="s">
        <v>228</v>
      </c>
      <c r="C63" t="s">
        <v>143</v>
      </c>
      <c r="D63" t="s">
        <v>144</v>
      </c>
      <c r="E63" t="s">
        <v>22</v>
      </c>
      <c r="F63" t="s">
        <v>44</v>
      </c>
      <c r="G63" t="s">
        <v>216</v>
      </c>
      <c r="H63" t="s">
        <v>266</v>
      </c>
      <c r="I63" t="s">
        <v>36</v>
      </c>
      <c r="J63" t="s">
        <v>140</v>
      </c>
      <c r="K63" t="s">
        <v>168</v>
      </c>
      <c r="L63">
        <v>4</v>
      </c>
      <c r="M63">
        <v>1800</v>
      </c>
      <c r="N63">
        <v>0.2</v>
      </c>
      <c r="O63">
        <v>5760</v>
      </c>
      <c r="P63">
        <v>617.67999999999995</v>
      </c>
      <c r="Q63">
        <v>308.25</v>
      </c>
      <c r="R63" t="s">
        <v>57</v>
      </c>
    </row>
    <row r="64" spans="1:18" x14ac:dyDescent="0.3">
      <c r="A64" t="s">
        <v>267</v>
      </c>
      <c r="B64" s="4" t="s">
        <v>241</v>
      </c>
      <c r="C64" t="s">
        <v>143</v>
      </c>
      <c r="D64" t="s">
        <v>144</v>
      </c>
      <c r="E64" t="s">
        <v>67</v>
      </c>
      <c r="F64" t="s">
        <v>106</v>
      </c>
      <c r="G64" t="s">
        <v>107</v>
      </c>
      <c r="H64" t="s">
        <v>139</v>
      </c>
      <c r="I64" t="s">
        <v>36</v>
      </c>
      <c r="J64" t="s">
        <v>140</v>
      </c>
      <c r="K64" t="s">
        <v>168</v>
      </c>
      <c r="L64">
        <v>2</v>
      </c>
      <c r="M64">
        <v>1800</v>
      </c>
      <c r="N64">
        <v>0.1</v>
      </c>
      <c r="O64">
        <v>3240</v>
      </c>
      <c r="P64">
        <v>423.83</v>
      </c>
      <c r="Q64">
        <v>428.38</v>
      </c>
      <c r="R64" t="s">
        <v>29</v>
      </c>
    </row>
    <row r="65" spans="1:18" x14ac:dyDescent="0.3">
      <c r="A65" t="s">
        <v>268</v>
      </c>
      <c r="B65" s="4" t="s">
        <v>241</v>
      </c>
      <c r="C65" t="s">
        <v>32</v>
      </c>
      <c r="D65" t="s">
        <v>33</v>
      </c>
      <c r="E65" t="s">
        <v>22</v>
      </c>
      <c r="F65" t="s">
        <v>106</v>
      </c>
      <c r="G65" t="s">
        <v>107</v>
      </c>
      <c r="H65" t="s">
        <v>108</v>
      </c>
      <c r="I65" t="s">
        <v>47</v>
      </c>
      <c r="J65" t="s">
        <v>48</v>
      </c>
      <c r="K65" t="s">
        <v>97</v>
      </c>
      <c r="L65">
        <v>2</v>
      </c>
      <c r="M65">
        <v>1500</v>
      </c>
      <c r="N65">
        <v>0.2</v>
      </c>
      <c r="O65">
        <v>2400</v>
      </c>
      <c r="P65">
        <v>660.24</v>
      </c>
      <c r="Q65">
        <v>366.06</v>
      </c>
      <c r="R65" t="s">
        <v>57</v>
      </c>
    </row>
    <row r="66" spans="1:18" x14ac:dyDescent="0.3">
      <c r="A66" t="s">
        <v>269</v>
      </c>
      <c r="B66" s="4" t="s">
        <v>270</v>
      </c>
      <c r="C66" t="s">
        <v>157</v>
      </c>
      <c r="D66" t="s">
        <v>158</v>
      </c>
      <c r="E66" t="s">
        <v>22</v>
      </c>
      <c r="F66" t="s">
        <v>44</v>
      </c>
      <c r="G66" t="s">
        <v>192</v>
      </c>
      <c r="H66" t="s">
        <v>271</v>
      </c>
      <c r="I66" t="s">
        <v>26</v>
      </c>
      <c r="J66" t="s">
        <v>69</v>
      </c>
      <c r="K66" t="s">
        <v>70</v>
      </c>
      <c r="L66">
        <v>3</v>
      </c>
      <c r="M66">
        <v>45000</v>
      </c>
      <c r="N66">
        <v>0.05</v>
      </c>
      <c r="O66">
        <v>128250</v>
      </c>
      <c r="P66">
        <v>19454.830000000002</v>
      </c>
      <c r="Q66">
        <v>122.61</v>
      </c>
      <c r="R66" t="s">
        <v>64</v>
      </c>
    </row>
    <row r="67" spans="1:18" x14ac:dyDescent="0.3">
      <c r="A67" t="s">
        <v>272</v>
      </c>
      <c r="B67" s="4" t="s">
        <v>273</v>
      </c>
      <c r="C67" t="s">
        <v>178</v>
      </c>
      <c r="D67" t="s">
        <v>179</v>
      </c>
      <c r="E67" t="s">
        <v>52</v>
      </c>
      <c r="F67" t="s">
        <v>23</v>
      </c>
      <c r="G67" t="s">
        <v>74</v>
      </c>
      <c r="H67" t="s">
        <v>75</v>
      </c>
      <c r="I67" t="s">
        <v>47</v>
      </c>
      <c r="J67" t="s">
        <v>85</v>
      </c>
      <c r="K67" t="s">
        <v>274</v>
      </c>
      <c r="L67">
        <v>3</v>
      </c>
      <c r="M67">
        <v>2400</v>
      </c>
      <c r="N67">
        <v>0.15</v>
      </c>
      <c r="O67">
        <v>6120</v>
      </c>
      <c r="P67">
        <v>1262.69</v>
      </c>
      <c r="Q67">
        <v>197.48</v>
      </c>
      <c r="R67" t="s">
        <v>57</v>
      </c>
    </row>
    <row r="68" spans="1:18" x14ac:dyDescent="0.3">
      <c r="A68" t="s">
        <v>275</v>
      </c>
      <c r="B68" s="4" t="s">
        <v>241</v>
      </c>
      <c r="C68" t="s">
        <v>206</v>
      </c>
      <c r="D68" t="s">
        <v>207</v>
      </c>
      <c r="E68" t="s">
        <v>52</v>
      </c>
      <c r="F68" t="s">
        <v>53</v>
      </c>
      <c r="G68" t="s">
        <v>100</v>
      </c>
      <c r="H68" t="s">
        <v>101</v>
      </c>
      <c r="I68" t="s">
        <v>47</v>
      </c>
      <c r="J68" t="s">
        <v>48</v>
      </c>
      <c r="K68" t="s">
        <v>97</v>
      </c>
      <c r="L68">
        <v>1</v>
      </c>
      <c r="M68">
        <v>1500</v>
      </c>
      <c r="N68">
        <v>0.2</v>
      </c>
      <c r="O68">
        <v>1200</v>
      </c>
      <c r="P68">
        <v>261.02999999999997</v>
      </c>
      <c r="Q68">
        <v>493.42</v>
      </c>
      <c r="R68" t="s">
        <v>29</v>
      </c>
    </row>
    <row r="69" spans="1:18" x14ac:dyDescent="0.3">
      <c r="A69" t="s">
        <v>276</v>
      </c>
      <c r="B69" s="4" t="s">
        <v>277</v>
      </c>
      <c r="C69" t="s">
        <v>278</v>
      </c>
      <c r="D69" t="s">
        <v>279</v>
      </c>
      <c r="E69" t="s">
        <v>52</v>
      </c>
      <c r="F69" t="s">
        <v>44</v>
      </c>
      <c r="G69" t="s">
        <v>192</v>
      </c>
      <c r="H69" t="s">
        <v>201</v>
      </c>
      <c r="I69" t="s">
        <v>36</v>
      </c>
      <c r="J69" t="s">
        <v>37</v>
      </c>
      <c r="K69" t="s">
        <v>280</v>
      </c>
      <c r="L69">
        <v>2</v>
      </c>
      <c r="M69">
        <v>25000</v>
      </c>
      <c r="N69">
        <v>0</v>
      </c>
      <c r="O69">
        <v>50000</v>
      </c>
      <c r="P69">
        <v>11122.31</v>
      </c>
      <c r="Q69">
        <v>481.7</v>
      </c>
      <c r="R69" t="s">
        <v>57</v>
      </c>
    </row>
    <row r="70" spans="1:18" x14ac:dyDescent="0.3">
      <c r="A70" t="s">
        <v>281</v>
      </c>
      <c r="B70" s="4" t="s">
        <v>277</v>
      </c>
      <c r="C70" t="s">
        <v>166</v>
      </c>
      <c r="D70" t="s">
        <v>167</v>
      </c>
      <c r="E70" t="s">
        <v>52</v>
      </c>
      <c r="F70" t="s">
        <v>44</v>
      </c>
      <c r="G70" t="s">
        <v>216</v>
      </c>
      <c r="H70" t="s">
        <v>266</v>
      </c>
      <c r="I70" t="s">
        <v>26</v>
      </c>
      <c r="J70" t="s">
        <v>91</v>
      </c>
      <c r="K70" t="s">
        <v>153</v>
      </c>
      <c r="L70">
        <v>4</v>
      </c>
      <c r="M70">
        <v>800</v>
      </c>
      <c r="N70">
        <v>0</v>
      </c>
      <c r="O70">
        <v>3200</v>
      </c>
      <c r="P70">
        <v>722.61</v>
      </c>
      <c r="Q70">
        <v>167.82</v>
      </c>
      <c r="R70" t="s">
        <v>64</v>
      </c>
    </row>
    <row r="71" spans="1:18" x14ac:dyDescent="0.3">
      <c r="A71" t="s">
        <v>282</v>
      </c>
      <c r="B71" s="4" t="s">
        <v>283</v>
      </c>
      <c r="C71" t="s">
        <v>211</v>
      </c>
      <c r="D71" t="s">
        <v>212</v>
      </c>
      <c r="E71" t="s">
        <v>52</v>
      </c>
      <c r="F71" t="s">
        <v>53</v>
      </c>
      <c r="G71" t="s">
        <v>100</v>
      </c>
      <c r="H71" t="s">
        <v>213</v>
      </c>
      <c r="I71" t="s">
        <v>47</v>
      </c>
      <c r="J71" t="s">
        <v>85</v>
      </c>
      <c r="K71" t="s">
        <v>284</v>
      </c>
      <c r="L71">
        <v>5</v>
      </c>
      <c r="M71">
        <v>900</v>
      </c>
      <c r="N71">
        <v>0</v>
      </c>
      <c r="O71">
        <v>4500</v>
      </c>
      <c r="P71">
        <v>793.09</v>
      </c>
      <c r="Q71">
        <v>218.47</v>
      </c>
      <c r="R71" t="s">
        <v>57</v>
      </c>
    </row>
    <row r="72" spans="1:18" x14ac:dyDescent="0.3">
      <c r="A72" t="s">
        <v>285</v>
      </c>
      <c r="B72" s="4" t="s">
        <v>286</v>
      </c>
      <c r="C72" t="s">
        <v>117</v>
      </c>
      <c r="D72" t="s">
        <v>118</v>
      </c>
      <c r="E72" t="s">
        <v>67</v>
      </c>
      <c r="F72" t="s">
        <v>23</v>
      </c>
      <c r="G72" t="s">
        <v>34</v>
      </c>
      <c r="H72" t="s">
        <v>62</v>
      </c>
      <c r="I72" t="s">
        <v>36</v>
      </c>
      <c r="J72" t="s">
        <v>140</v>
      </c>
      <c r="K72" t="s">
        <v>287</v>
      </c>
      <c r="L72">
        <v>5</v>
      </c>
      <c r="M72">
        <v>4000</v>
      </c>
      <c r="N72">
        <v>0</v>
      </c>
      <c r="O72">
        <v>20000</v>
      </c>
      <c r="P72">
        <v>3743.01</v>
      </c>
      <c r="Q72">
        <v>326.58999999999997</v>
      </c>
      <c r="R72" t="s">
        <v>39</v>
      </c>
    </row>
    <row r="73" spans="1:18" x14ac:dyDescent="0.3">
      <c r="A73" t="s">
        <v>288</v>
      </c>
      <c r="B73" s="4" t="s">
        <v>286</v>
      </c>
      <c r="C73" t="s">
        <v>143</v>
      </c>
      <c r="D73" t="s">
        <v>144</v>
      </c>
      <c r="E73" t="s">
        <v>22</v>
      </c>
      <c r="F73" t="s">
        <v>53</v>
      </c>
      <c r="G73" t="s">
        <v>54</v>
      </c>
      <c r="H73" t="s">
        <v>112</v>
      </c>
      <c r="I73" t="s">
        <v>47</v>
      </c>
      <c r="J73" t="s">
        <v>85</v>
      </c>
      <c r="K73" t="s">
        <v>289</v>
      </c>
      <c r="L73">
        <v>4</v>
      </c>
      <c r="M73">
        <v>2200</v>
      </c>
      <c r="N73">
        <v>0.05</v>
      </c>
      <c r="O73">
        <v>8360</v>
      </c>
      <c r="P73">
        <v>2154.6999999999998</v>
      </c>
      <c r="Q73">
        <v>191.47</v>
      </c>
      <c r="R73" t="s">
        <v>39</v>
      </c>
    </row>
    <row r="74" spans="1:18" x14ac:dyDescent="0.3">
      <c r="A74" t="s">
        <v>290</v>
      </c>
      <c r="B74" s="4" t="s">
        <v>291</v>
      </c>
      <c r="C74" t="s">
        <v>20</v>
      </c>
      <c r="D74" t="s">
        <v>21</v>
      </c>
      <c r="E74" t="s">
        <v>52</v>
      </c>
      <c r="F74" t="s">
        <v>44</v>
      </c>
      <c r="G74" t="s">
        <v>216</v>
      </c>
      <c r="H74" t="s">
        <v>217</v>
      </c>
      <c r="I74" t="s">
        <v>36</v>
      </c>
      <c r="J74" t="s">
        <v>37</v>
      </c>
      <c r="K74" t="s">
        <v>125</v>
      </c>
      <c r="L74">
        <v>2</v>
      </c>
      <c r="M74">
        <v>8500</v>
      </c>
      <c r="N74">
        <v>0.1</v>
      </c>
      <c r="O74">
        <v>15300</v>
      </c>
      <c r="P74">
        <v>3502.88</v>
      </c>
      <c r="Q74">
        <v>110.23</v>
      </c>
      <c r="R74" t="s">
        <v>57</v>
      </c>
    </row>
    <row r="75" spans="1:18" x14ac:dyDescent="0.3">
      <c r="A75" t="s">
        <v>292</v>
      </c>
      <c r="B75" s="4" t="s">
        <v>293</v>
      </c>
      <c r="C75" t="s">
        <v>127</v>
      </c>
      <c r="D75" t="s">
        <v>128</v>
      </c>
      <c r="E75" t="s">
        <v>67</v>
      </c>
      <c r="F75" t="s">
        <v>44</v>
      </c>
      <c r="G75" t="s">
        <v>45</v>
      </c>
      <c r="H75" t="s">
        <v>124</v>
      </c>
      <c r="I75" t="s">
        <v>26</v>
      </c>
      <c r="J75" t="s">
        <v>27</v>
      </c>
      <c r="K75" t="s">
        <v>76</v>
      </c>
      <c r="L75">
        <v>2</v>
      </c>
      <c r="M75">
        <v>75000</v>
      </c>
      <c r="N75">
        <v>0</v>
      </c>
      <c r="O75">
        <v>150000</v>
      </c>
      <c r="P75">
        <v>40185.31</v>
      </c>
      <c r="Q75">
        <v>497.39</v>
      </c>
      <c r="R75" t="s">
        <v>57</v>
      </c>
    </row>
    <row r="76" spans="1:18" x14ac:dyDescent="0.3">
      <c r="A76" t="s">
        <v>294</v>
      </c>
      <c r="B76" s="4" t="s">
        <v>283</v>
      </c>
      <c r="C76" t="s">
        <v>127</v>
      </c>
      <c r="D76" t="s">
        <v>128</v>
      </c>
      <c r="E76" t="s">
        <v>52</v>
      </c>
      <c r="F76" t="s">
        <v>23</v>
      </c>
      <c r="G76" t="s">
        <v>34</v>
      </c>
      <c r="H76" t="s">
        <v>35</v>
      </c>
      <c r="I76" t="s">
        <v>47</v>
      </c>
      <c r="J76" t="s">
        <v>85</v>
      </c>
      <c r="K76" t="s">
        <v>86</v>
      </c>
      <c r="L76">
        <v>3</v>
      </c>
      <c r="M76">
        <v>3500</v>
      </c>
      <c r="N76">
        <v>0</v>
      </c>
      <c r="O76">
        <v>10500</v>
      </c>
      <c r="P76">
        <v>1352.16</v>
      </c>
      <c r="Q76">
        <v>57.83</v>
      </c>
      <c r="R76" t="s">
        <v>29</v>
      </c>
    </row>
    <row r="77" spans="1:18" x14ac:dyDescent="0.3">
      <c r="A77" t="s">
        <v>295</v>
      </c>
      <c r="B77" s="4" t="s">
        <v>296</v>
      </c>
      <c r="C77" t="s">
        <v>178</v>
      </c>
      <c r="D77" t="s">
        <v>179</v>
      </c>
      <c r="E77" t="s">
        <v>22</v>
      </c>
      <c r="F77" t="s">
        <v>44</v>
      </c>
      <c r="G77" t="s">
        <v>192</v>
      </c>
      <c r="H77" t="s">
        <v>193</v>
      </c>
      <c r="I77" t="s">
        <v>47</v>
      </c>
      <c r="J77" t="s">
        <v>85</v>
      </c>
      <c r="K77" t="s">
        <v>86</v>
      </c>
      <c r="L77">
        <v>2</v>
      </c>
      <c r="M77">
        <v>3500</v>
      </c>
      <c r="N77">
        <v>0.15</v>
      </c>
      <c r="O77">
        <v>5950</v>
      </c>
      <c r="P77">
        <v>1281.03</v>
      </c>
      <c r="Q77">
        <v>200.43</v>
      </c>
      <c r="R77" t="s">
        <v>64</v>
      </c>
    </row>
    <row r="78" spans="1:18" x14ac:dyDescent="0.3">
      <c r="A78" t="s">
        <v>297</v>
      </c>
      <c r="B78" s="4" t="s">
        <v>298</v>
      </c>
      <c r="C78" t="s">
        <v>134</v>
      </c>
      <c r="D78" t="s">
        <v>135</v>
      </c>
      <c r="E78" t="s">
        <v>67</v>
      </c>
      <c r="F78" t="s">
        <v>53</v>
      </c>
      <c r="G78" t="s">
        <v>54</v>
      </c>
      <c r="H78" t="s">
        <v>55</v>
      </c>
      <c r="I78" t="s">
        <v>26</v>
      </c>
      <c r="J78" t="s">
        <v>69</v>
      </c>
      <c r="K78" t="s">
        <v>136</v>
      </c>
      <c r="L78">
        <v>5</v>
      </c>
      <c r="M78">
        <v>42000</v>
      </c>
      <c r="N78">
        <v>0</v>
      </c>
      <c r="O78">
        <v>210000</v>
      </c>
      <c r="P78">
        <v>30742.85</v>
      </c>
      <c r="Q78">
        <v>491.42</v>
      </c>
      <c r="R78" t="s">
        <v>39</v>
      </c>
    </row>
    <row r="79" spans="1:18" x14ac:dyDescent="0.3">
      <c r="A79" t="s">
        <v>299</v>
      </c>
      <c r="B79" s="4" t="s">
        <v>300</v>
      </c>
      <c r="C79" t="s">
        <v>185</v>
      </c>
      <c r="D79" t="s">
        <v>186</v>
      </c>
      <c r="E79" t="s">
        <v>67</v>
      </c>
      <c r="F79" t="s">
        <v>44</v>
      </c>
      <c r="G79" t="s">
        <v>192</v>
      </c>
      <c r="H79" t="s">
        <v>193</v>
      </c>
      <c r="I79" t="s">
        <v>47</v>
      </c>
      <c r="J79" t="s">
        <v>85</v>
      </c>
      <c r="K79" t="s">
        <v>102</v>
      </c>
      <c r="L79">
        <v>3</v>
      </c>
      <c r="M79">
        <v>3200</v>
      </c>
      <c r="N79">
        <v>0.15</v>
      </c>
      <c r="O79">
        <v>8160</v>
      </c>
      <c r="P79">
        <v>1092.76</v>
      </c>
      <c r="Q79">
        <v>193.96</v>
      </c>
      <c r="R79" t="s">
        <v>64</v>
      </c>
    </row>
    <row r="80" spans="1:18" x14ac:dyDescent="0.3">
      <c r="A80" t="s">
        <v>301</v>
      </c>
      <c r="B80" s="4" t="s">
        <v>302</v>
      </c>
      <c r="C80" t="s">
        <v>178</v>
      </c>
      <c r="D80" t="s">
        <v>179</v>
      </c>
      <c r="E80" t="s">
        <v>22</v>
      </c>
      <c r="F80" t="s">
        <v>23</v>
      </c>
      <c r="G80" t="s">
        <v>74</v>
      </c>
      <c r="H80" t="s">
        <v>75</v>
      </c>
      <c r="I80" t="s">
        <v>36</v>
      </c>
      <c r="J80" t="s">
        <v>37</v>
      </c>
      <c r="K80" t="s">
        <v>125</v>
      </c>
      <c r="L80">
        <v>4</v>
      </c>
      <c r="M80">
        <v>8500</v>
      </c>
      <c r="N80">
        <v>0</v>
      </c>
      <c r="O80">
        <v>34000</v>
      </c>
      <c r="P80">
        <v>8085.25</v>
      </c>
      <c r="Q80">
        <v>356.38</v>
      </c>
      <c r="R80" t="s">
        <v>39</v>
      </c>
    </row>
    <row r="81" spans="1:18" x14ac:dyDescent="0.3">
      <c r="A81" t="s">
        <v>303</v>
      </c>
      <c r="B81" s="4" t="s">
        <v>304</v>
      </c>
      <c r="C81" t="s">
        <v>89</v>
      </c>
      <c r="D81" t="s">
        <v>90</v>
      </c>
      <c r="E81" t="s">
        <v>67</v>
      </c>
      <c r="F81" t="s">
        <v>23</v>
      </c>
      <c r="G81" t="s">
        <v>24</v>
      </c>
      <c r="H81" t="s">
        <v>25</v>
      </c>
      <c r="I81" t="s">
        <v>26</v>
      </c>
      <c r="J81" t="s">
        <v>91</v>
      </c>
      <c r="K81" t="s">
        <v>92</v>
      </c>
      <c r="L81">
        <v>5</v>
      </c>
      <c r="M81">
        <v>1200</v>
      </c>
      <c r="N81">
        <v>0.05</v>
      </c>
      <c r="O81">
        <v>5700</v>
      </c>
      <c r="P81">
        <v>647.39</v>
      </c>
      <c r="Q81">
        <v>342.98</v>
      </c>
      <c r="R81" t="s">
        <v>64</v>
      </c>
    </row>
    <row r="82" spans="1:18" x14ac:dyDescent="0.3">
      <c r="A82" t="s">
        <v>305</v>
      </c>
      <c r="B82" s="4" t="s">
        <v>277</v>
      </c>
      <c r="C82" t="s">
        <v>20</v>
      </c>
      <c r="D82" t="s">
        <v>21</v>
      </c>
      <c r="E82" t="s">
        <v>67</v>
      </c>
      <c r="F82" t="s">
        <v>106</v>
      </c>
      <c r="G82" t="s">
        <v>306</v>
      </c>
      <c r="H82" t="s">
        <v>307</v>
      </c>
      <c r="I82" t="s">
        <v>26</v>
      </c>
      <c r="J82" t="s">
        <v>91</v>
      </c>
      <c r="K82" t="s">
        <v>308</v>
      </c>
      <c r="L82">
        <v>1</v>
      </c>
      <c r="M82">
        <v>4500</v>
      </c>
      <c r="N82">
        <v>0.15</v>
      </c>
      <c r="O82">
        <v>3825</v>
      </c>
      <c r="P82">
        <v>353.28</v>
      </c>
      <c r="Q82">
        <v>64.819999999999993</v>
      </c>
      <c r="R82" t="s">
        <v>64</v>
      </c>
    </row>
    <row r="83" spans="1:18" x14ac:dyDescent="0.3">
      <c r="A83" t="s">
        <v>309</v>
      </c>
      <c r="B83" s="4" t="s">
        <v>286</v>
      </c>
      <c r="C83" t="s">
        <v>72</v>
      </c>
      <c r="D83" t="s">
        <v>73</v>
      </c>
      <c r="E83" t="s">
        <v>52</v>
      </c>
      <c r="F83" t="s">
        <v>23</v>
      </c>
      <c r="G83" t="s">
        <v>34</v>
      </c>
      <c r="H83" t="s">
        <v>62</v>
      </c>
      <c r="I83" t="s">
        <v>47</v>
      </c>
      <c r="J83" t="s">
        <v>119</v>
      </c>
      <c r="K83" t="s">
        <v>310</v>
      </c>
      <c r="L83">
        <v>2</v>
      </c>
      <c r="M83">
        <v>1500</v>
      </c>
      <c r="N83">
        <v>0</v>
      </c>
      <c r="O83">
        <v>3000</v>
      </c>
      <c r="P83">
        <v>795.47</v>
      </c>
      <c r="Q83">
        <v>78.08</v>
      </c>
      <c r="R83" t="s">
        <v>64</v>
      </c>
    </row>
    <row r="84" spans="1:18" x14ac:dyDescent="0.3">
      <c r="A84" t="s">
        <v>311</v>
      </c>
      <c r="B84" s="4" t="s">
        <v>300</v>
      </c>
      <c r="C84" t="s">
        <v>60</v>
      </c>
      <c r="D84" t="s">
        <v>61</v>
      </c>
      <c r="E84" t="s">
        <v>22</v>
      </c>
      <c r="F84" t="s">
        <v>44</v>
      </c>
      <c r="G84" t="s">
        <v>216</v>
      </c>
      <c r="H84" t="s">
        <v>266</v>
      </c>
      <c r="I84" t="s">
        <v>26</v>
      </c>
      <c r="J84" t="s">
        <v>91</v>
      </c>
      <c r="K84" t="s">
        <v>308</v>
      </c>
      <c r="L84">
        <v>2</v>
      </c>
      <c r="M84">
        <v>4500</v>
      </c>
      <c r="N84">
        <v>0</v>
      </c>
      <c r="O84">
        <v>9000</v>
      </c>
      <c r="P84">
        <v>1601.32</v>
      </c>
      <c r="Q84">
        <v>211.93</v>
      </c>
      <c r="R84" t="s">
        <v>57</v>
      </c>
    </row>
    <row r="85" spans="1:18" x14ac:dyDescent="0.3">
      <c r="A85" t="s">
        <v>312</v>
      </c>
      <c r="B85" s="4" t="s">
        <v>313</v>
      </c>
      <c r="C85" t="s">
        <v>32</v>
      </c>
      <c r="D85" t="s">
        <v>33</v>
      </c>
      <c r="E85" t="s">
        <v>22</v>
      </c>
      <c r="F85" t="s">
        <v>53</v>
      </c>
      <c r="G85" t="s">
        <v>83</v>
      </c>
      <c r="H85" t="s">
        <v>84</v>
      </c>
      <c r="I85" t="s">
        <v>26</v>
      </c>
      <c r="J85" t="s">
        <v>69</v>
      </c>
      <c r="K85" t="s">
        <v>80</v>
      </c>
      <c r="L85">
        <v>3</v>
      </c>
      <c r="M85">
        <v>50000</v>
      </c>
      <c r="N85">
        <v>0.1</v>
      </c>
      <c r="O85">
        <v>135000</v>
      </c>
      <c r="P85">
        <v>11810.37</v>
      </c>
      <c r="Q85">
        <v>148.38999999999999</v>
      </c>
      <c r="R85" t="s">
        <v>64</v>
      </c>
    </row>
    <row r="86" spans="1:18" x14ac:dyDescent="0.3">
      <c r="A86" t="s">
        <v>314</v>
      </c>
      <c r="B86" s="4" t="s">
        <v>315</v>
      </c>
      <c r="C86" t="s">
        <v>122</v>
      </c>
      <c r="D86" t="s">
        <v>123</v>
      </c>
      <c r="E86" t="s">
        <v>52</v>
      </c>
      <c r="F86" t="s">
        <v>44</v>
      </c>
      <c r="G86" t="s">
        <v>216</v>
      </c>
      <c r="H86" t="s">
        <v>316</v>
      </c>
      <c r="I86" t="s">
        <v>36</v>
      </c>
      <c r="J86" t="s">
        <v>37</v>
      </c>
      <c r="K86" t="s">
        <v>38</v>
      </c>
      <c r="L86">
        <v>1</v>
      </c>
      <c r="M86">
        <v>6000</v>
      </c>
      <c r="N86">
        <v>0</v>
      </c>
      <c r="O86">
        <v>6000</v>
      </c>
      <c r="P86">
        <v>806.46</v>
      </c>
      <c r="Q86">
        <v>431.78</v>
      </c>
      <c r="R86" t="s">
        <v>39</v>
      </c>
    </row>
    <row r="87" spans="1:18" x14ac:dyDescent="0.3">
      <c r="A87" t="s">
        <v>317</v>
      </c>
      <c r="B87" s="4" t="s">
        <v>318</v>
      </c>
      <c r="C87" t="s">
        <v>166</v>
      </c>
      <c r="D87" t="s">
        <v>167</v>
      </c>
      <c r="E87" t="s">
        <v>52</v>
      </c>
      <c r="F87" t="s">
        <v>44</v>
      </c>
      <c r="G87" t="s">
        <v>192</v>
      </c>
      <c r="H87" t="s">
        <v>201</v>
      </c>
      <c r="I87" t="s">
        <v>26</v>
      </c>
      <c r="J87" t="s">
        <v>27</v>
      </c>
      <c r="K87" t="s">
        <v>76</v>
      </c>
      <c r="L87">
        <v>1</v>
      </c>
      <c r="M87">
        <v>75000</v>
      </c>
      <c r="N87">
        <v>0</v>
      </c>
      <c r="O87">
        <v>75000</v>
      </c>
      <c r="P87">
        <v>16848.88</v>
      </c>
      <c r="Q87">
        <v>464.24</v>
      </c>
      <c r="R87" t="s">
        <v>64</v>
      </c>
    </row>
    <row r="88" spans="1:18" x14ac:dyDescent="0.3">
      <c r="A88" t="s">
        <v>319</v>
      </c>
      <c r="B88" s="4" t="s">
        <v>293</v>
      </c>
      <c r="C88" t="s">
        <v>104</v>
      </c>
      <c r="D88" t="s">
        <v>105</v>
      </c>
      <c r="E88" t="s">
        <v>52</v>
      </c>
      <c r="F88" t="s">
        <v>53</v>
      </c>
      <c r="G88" t="s">
        <v>83</v>
      </c>
      <c r="H88" t="s">
        <v>251</v>
      </c>
      <c r="I88" t="s">
        <v>26</v>
      </c>
      <c r="J88" t="s">
        <v>69</v>
      </c>
      <c r="K88" t="s">
        <v>80</v>
      </c>
      <c r="L88">
        <v>4</v>
      </c>
      <c r="M88">
        <v>50000</v>
      </c>
      <c r="N88">
        <v>0</v>
      </c>
      <c r="O88">
        <v>200000</v>
      </c>
      <c r="P88">
        <v>36503.1</v>
      </c>
      <c r="Q88">
        <v>194.29</v>
      </c>
      <c r="R88" t="s">
        <v>39</v>
      </c>
    </row>
    <row r="89" spans="1:18" x14ac:dyDescent="0.3">
      <c r="A89" t="s">
        <v>320</v>
      </c>
      <c r="B89" s="4" t="s">
        <v>304</v>
      </c>
      <c r="C89" t="s">
        <v>178</v>
      </c>
      <c r="D89" t="s">
        <v>179</v>
      </c>
      <c r="E89" t="s">
        <v>22</v>
      </c>
      <c r="F89" t="s">
        <v>106</v>
      </c>
      <c r="G89" t="s">
        <v>107</v>
      </c>
      <c r="H89" t="s">
        <v>108</v>
      </c>
      <c r="I89" t="s">
        <v>36</v>
      </c>
      <c r="J89" t="s">
        <v>37</v>
      </c>
      <c r="K89" t="s">
        <v>38</v>
      </c>
      <c r="L89">
        <v>2</v>
      </c>
      <c r="M89">
        <v>6000</v>
      </c>
      <c r="N89">
        <v>0</v>
      </c>
      <c r="O89">
        <v>12000</v>
      </c>
      <c r="P89">
        <v>2196.54</v>
      </c>
      <c r="Q89">
        <v>192.28</v>
      </c>
      <c r="R89" t="s">
        <v>57</v>
      </c>
    </row>
    <row r="90" spans="1:18" x14ac:dyDescent="0.3">
      <c r="A90" t="s">
        <v>321</v>
      </c>
      <c r="B90" s="4" t="s">
        <v>322</v>
      </c>
      <c r="C90" t="s">
        <v>117</v>
      </c>
      <c r="D90" t="s">
        <v>118</v>
      </c>
      <c r="E90" t="s">
        <v>52</v>
      </c>
      <c r="F90" t="s">
        <v>106</v>
      </c>
      <c r="G90" t="s">
        <v>107</v>
      </c>
      <c r="H90" t="s">
        <v>108</v>
      </c>
      <c r="I90" t="s">
        <v>36</v>
      </c>
      <c r="J90" t="s">
        <v>37</v>
      </c>
      <c r="K90" t="s">
        <v>125</v>
      </c>
      <c r="L90">
        <v>1</v>
      </c>
      <c r="M90">
        <v>8500</v>
      </c>
      <c r="N90">
        <v>0</v>
      </c>
      <c r="O90">
        <v>8500</v>
      </c>
      <c r="P90">
        <v>1496.82</v>
      </c>
      <c r="Q90">
        <v>103.63</v>
      </c>
      <c r="R90" t="s">
        <v>57</v>
      </c>
    </row>
    <row r="91" spans="1:18" x14ac:dyDescent="0.3">
      <c r="A91" t="s">
        <v>323</v>
      </c>
      <c r="B91" s="4" t="s">
        <v>313</v>
      </c>
      <c r="C91" t="s">
        <v>72</v>
      </c>
      <c r="D91" t="s">
        <v>73</v>
      </c>
      <c r="E91" t="s">
        <v>52</v>
      </c>
      <c r="F91" t="s">
        <v>53</v>
      </c>
      <c r="G91" t="s">
        <v>54</v>
      </c>
      <c r="H91" t="s">
        <v>203</v>
      </c>
      <c r="I91" t="s">
        <v>47</v>
      </c>
      <c r="J91" t="s">
        <v>48</v>
      </c>
      <c r="K91" t="s">
        <v>196</v>
      </c>
      <c r="L91">
        <v>2</v>
      </c>
      <c r="M91">
        <v>2500</v>
      </c>
      <c r="N91">
        <v>0.2</v>
      </c>
      <c r="O91">
        <v>4000</v>
      </c>
      <c r="P91">
        <v>734.04</v>
      </c>
      <c r="Q91">
        <v>468.1</v>
      </c>
      <c r="R91" t="s">
        <v>39</v>
      </c>
    </row>
    <row r="92" spans="1:18" x14ac:dyDescent="0.3">
      <c r="A92" t="s">
        <v>324</v>
      </c>
      <c r="B92" s="4" t="s">
        <v>325</v>
      </c>
      <c r="C92" t="s">
        <v>206</v>
      </c>
      <c r="D92" t="s">
        <v>207</v>
      </c>
      <c r="E92" t="s">
        <v>67</v>
      </c>
      <c r="F92" t="s">
        <v>53</v>
      </c>
      <c r="G92" t="s">
        <v>100</v>
      </c>
      <c r="H92" t="s">
        <v>213</v>
      </c>
      <c r="I92" t="s">
        <v>36</v>
      </c>
      <c r="J92" t="s">
        <v>113</v>
      </c>
      <c r="K92" t="s">
        <v>246</v>
      </c>
      <c r="L92">
        <v>5</v>
      </c>
      <c r="M92">
        <v>1200</v>
      </c>
      <c r="N92">
        <v>0.05</v>
      </c>
      <c r="O92">
        <v>5700</v>
      </c>
      <c r="P92">
        <v>604.1</v>
      </c>
      <c r="Q92">
        <v>396.73</v>
      </c>
      <c r="R92" t="s">
        <v>29</v>
      </c>
    </row>
    <row r="93" spans="1:18" x14ac:dyDescent="0.3">
      <c r="A93" t="s">
        <v>326</v>
      </c>
      <c r="B93" s="4" t="s">
        <v>327</v>
      </c>
      <c r="C93" t="s">
        <v>104</v>
      </c>
      <c r="D93" t="s">
        <v>105</v>
      </c>
      <c r="E93" t="s">
        <v>67</v>
      </c>
      <c r="F93" t="s">
        <v>23</v>
      </c>
      <c r="G93" t="s">
        <v>74</v>
      </c>
      <c r="H93" t="s">
        <v>152</v>
      </c>
      <c r="I93" t="s">
        <v>26</v>
      </c>
      <c r="J93" t="s">
        <v>27</v>
      </c>
      <c r="K93" t="s">
        <v>76</v>
      </c>
      <c r="L93">
        <v>2</v>
      </c>
      <c r="M93">
        <v>75000</v>
      </c>
      <c r="N93">
        <v>0.1</v>
      </c>
      <c r="O93">
        <v>135000</v>
      </c>
      <c r="P93">
        <v>17158.61</v>
      </c>
      <c r="Q93">
        <v>443.6</v>
      </c>
      <c r="R93" t="s">
        <v>57</v>
      </c>
    </row>
    <row r="94" spans="1:18" x14ac:dyDescent="0.3">
      <c r="A94" t="s">
        <v>328</v>
      </c>
      <c r="B94" s="4" t="s">
        <v>283</v>
      </c>
      <c r="C94" t="s">
        <v>162</v>
      </c>
      <c r="D94" t="s">
        <v>163</v>
      </c>
      <c r="E94" t="s">
        <v>67</v>
      </c>
      <c r="F94" t="s">
        <v>106</v>
      </c>
      <c r="G94" t="s">
        <v>149</v>
      </c>
      <c r="H94" t="s">
        <v>180</v>
      </c>
      <c r="I94" t="s">
        <v>47</v>
      </c>
      <c r="J94" t="s">
        <v>48</v>
      </c>
      <c r="K94" t="s">
        <v>49</v>
      </c>
      <c r="L94">
        <v>5</v>
      </c>
      <c r="M94">
        <v>3500</v>
      </c>
      <c r="N94">
        <v>0</v>
      </c>
      <c r="O94">
        <v>17500</v>
      </c>
      <c r="P94">
        <v>1652.5</v>
      </c>
      <c r="Q94">
        <v>139</v>
      </c>
      <c r="R94" t="s">
        <v>64</v>
      </c>
    </row>
    <row r="95" spans="1:18" x14ac:dyDescent="0.3">
      <c r="A95" t="s">
        <v>329</v>
      </c>
      <c r="B95" s="4" t="s">
        <v>330</v>
      </c>
      <c r="C95" t="s">
        <v>72</v>
      </c>
      <c r="D95" t="s">
        <v>73</v>
      </c>
      <c r="E95" t="s">
        <v>22</v>
      </c>
      <c r="F95" t="s">
        <v>53</v>
      </c>
      <c r="G95" t="s">
        <v>83</v>
      </c>
      <c r="H95" t="s">
        <v>251</v>
      </c>
      <c r="I95" t="s">
        <v>47</v>
      </c>
      <c r="J95" t="s">
        <v>48</v>
      </c>
      <c r="K95" t="s">
        <v>49</v>
      </c>
      <c r="L95">
        <v>3</v>
      </c>
      <c r="M95">
        <v>3500</v>
      </c>
      <c r="N95">
        <v>0.15</v>
      </c>
      <c r="O95">
        <v>8925</v>
      </c>
      <c r="P95">
        <v>1146.92</v>
      </c>
      <c r="Q95">
        <v>350.63</v>
      </c>
      <c r="R95" t="s">
        <v>64</v>
      </c>
    </row>
    <row r="96" spans="1:18" x14ac:dyDescent="0.3">
      <c r="A96" t="s">
        <v>331</v>
      </c>
      <c r="B96" s="4" t="s">
        <v>332</v>
      </c>
      <c r="C96" t="s">
        <v>206</v>
      </c>
      <c r="D96" t="s">
        <v>207</v>
      </c>
      <c r="E96" t="s">
        <v>22</v>
      </c>
      <c r="F96" t="s">
        <v>44</v>
      </c>
      <c r="G96" t="s">
        <v>216</v>
      </c>
      <c r="H96" t="s">
        <v>217</v>
      </c>
      <c r="I96" t="s">
        <v>36</v>
      </c>
      <c r="J96" t="s">
        <v>113</v>
      </c>
      <c r="K96" t="s">
        <v>114</v>
      </c>
      <c r="L96">
        <v>4</v>
      </c>
      <c r="M96">
        <v>600</v>
      </c>
      <c r="N96">
        <v>0</v>
      </c>
      <c r="O96">
        <v>2400</v>
      </c>
      <c r="P96">
        <v>503.05</v>
      </c>
      <c r="Q96">
        <v>256.70999999999998</v>
      </c>
      <c r="R96" t="s">
        <v>57</v>
      </c>
    </row>
    <row r="97" spans="1:18" x14ac:dyDescent="0.3">
      <c r="A97" t="s">
        <v>333</v>
      </c>
      <c r="B97" s="4" t="s">
        <v>334</v>
      </c>
      <c r="C97" t="s">
        <v>206</v>
      </c>
      <c r="D97" t="s">
        <v>207</v>
      </c>
      <c r="E97" t="s">
        <v>67</v>
      </c>
      <c r="F97" t="s">
        <v>44</v>
      </c>
      <c r="G97" t="s">
        <v>216</v>
      </c>
      <c r="H97" t="s">
        <v>217</v>
      </c>
      <c r="I97" t="s">
        <v>47</v>
      </c>
      <c r="J97" t="s">
        <v>48</v>
      </c>
      <c r="K97" t="s">
        <v>49</v>
      </c>
      <c r="L97">
        <v>1</v>
      </c>
      <c r="M97">
        <v>3500</v>
      </c>
      <c r="N97">
        <v>0.2</v>
      </c>
      <c r="O97">
        <v>2800</v>
      </c>
      <c r="P97">
        <v>748.52</v>
      </c>
      <c r="Q97">
        <v>389</v>
      </c>
      <c r="R97" t="s">
        <v>64</v>
      </c>
    </row>
    <row r="98" spans="1:18" x14ac:dyDescent="0.3">
      <c r="A98" t="s">
        <v>335</v>
      </c>
      <c r="B98" s="4" t="s">
        <v>336</v>
      </c>
      <c r="C98" t="s">
        <v>166</v>
      </c>
      <c r="D98" t="s">
        <v>167</v>
      </c>
      <c r="E98" t="s">
        <v>52</v>
      </c>
      <c r="F98" t="s">
        <v>53</v>
      </c>
      <c r="G98" t="s">
        <v>100</v>
      </c>
      <c r="H98" t="s">
        <v>101</v>
      </c>
      <c r="I98" t="s">
        <v>36</v>
      </c>
      <c r="J98" t="s">
        <v>140</v>
      </c>
      <c r="K98" t="s">
        <v>337</v>
      </c>
      <c r="L98">
        <v>2</v>
      </c>
      <c r="M98">
        <v>5500</v>
      </c>
      <c r="N98">
        <v>0.2</v>
      </c>
      <c r="O98">
        <v>8800</v>
      </c>
      <c r="P98">
        <v>746.71</v>
      </c>
      <c r="Q98">
        <v>280.31</v>
      </c>
      <c r="R98" t="s">
        <v>29</v>
      </c>
    </row>
    <row r="99" spans="1:18" x14ac:dyDescent="0.3">
      <c r="A99" t="s">
        <v>338</v>
      </c>
      <c r="B99" s="4" t="s">
        <v>339</v>
      </c>
      <c r="C99" t="s">
        <v>206</v>
      </c>
      <c r="D99" t="s">
        <v>207</v>
      </c>
      <c r="E99" t="s">
        <v>67</v>
      </c>
      <c r="F99" t="s">
        <v>106</v>
      </c>
      <c r="G99" t="s">
        <v>107</v>
      </c>
      <c r="H99" t="s">
        <v>108</v>
      </c>
      <c r="I99" t="s">
        <v>36</v>
      </c>
      <c r="J99" t="s">
        <v>113</v>
      </c>
      <c r="K99" t="s">
        <v>262</v>
      </c>
      <c r="L99">
        <v>1</v>
      </c>
      <c r="M99">
        <v>2500</v>
      </c>
      <c r="N99">
        <v>0.1</v>
      </c>
      <c r="O99">
        <v>2250</v>
      </c>
      <c r="P99">
        <v>217.73</v>
      </c>
      <c r="Q99">
        <v>310.26</v>
      </c>
      <c r="R99" t="s">
        <v>64</v>
      </c>
    </row>
    <row r="100" spans="1:18" x14ac:dyDescent="0.3">
      <c r="A100" t="s">
        <v>340</v>
      </c>
      <c r="B100" s="4" t="s">
        <v>332</v>
      </c>
      <c r="C100" t="s">
        <v>104</v>
      </c>
      <c r="D100" t="s">
        <v>105</v>
      </c>
      <c r="E100" t="s">
        <v>67</v>
      </c>
      <c r="F100" t="s">
        <v>44</v>
      </c>
      <c r="G100" t="s">
        <v>216</v>
      </c>
      <c r="H100" t="s">
        <v>316</v>
      </c>
      <c r="I100" t="s">
        <v>26</v>
      </c>
      <c r="J100" t="s">
        <v>91</v>
      </c>
      <c r="K100" t="s">
        <v>199</v>
      </c>
      <c r="L100">
        <v>2</v>
      </c>
      <c r="M100">
        <v>3500</v>
      </c>
      <c r="N100">
        <v>0.15</v>
      </c>
      <c r="O100">
        <v>5950</v>
      </c>
      <c r="P100">
        <v>766.4</v>
      </c>
      <c r="Q100">
        <v>178</v>
      </c>
      <c r="R100" t="s">
        <v>57</v>
      </c>
    </row>
    <row r="101" spans="1:18" x14ac:dyDescent="0.3">
      <c r="A101" t="s">
        <v>341</v>
      </c>
      <c r="B101" s="4" t="s">
        <v>342</v>
      </c>
      <c r="C101" t="s">
        <v>171</v>
      </c>
      <c r="D101" t="s">
        <v>172</v>
      </c>
      <c r="E101" t="s">
        <v>22</v>
      </c>
      <c r="F101" t="s">
        <v>53</v>
      </c>
      <c r="G101" t="s">
        <v>54</v>
      </c>
      <c r="H101" t="s">
        <v>55</v>
      </c>
      <c r="I101" t="s">
        <v>26</v>
      </c>
      <c r="J101" t="s">
        <v>69</v>
      </c>
      <c r="K101" t="s">
        <v>131</v>
      </c>
      <c r="L101">
        <v>3</v>
      </c>
      <c r="M101">
        <v>115000</v>
      </c>
      <c r="N101">
        <v>0.2</v>
      </c>
      <c r="O101">
        <v>276000</v>
      </c>
      <c r="P101">
        <v>61846.1</v>
      </c>
      <c r="Q101">
        <v>129.41</v>
      </c>
      <c r="R101" t="s">
        <v>39</v>
      </c>
    </row>
    <row r="102" spans="1:18" x14ac:dyDescent="0.3">
      <c r="A102" t="s">
        <v>343</v>
      </c>
      <c r="B102" s="4" t="s">
        <v>344</v>
      </c>
      <c r="C102" t="s">
        <v>89</v>
      </c>
      <c r="D102" t="s">
        <v>90</v>
      </c>
      <c r="E102" t="s">
        <v>52</v>
      </c>
      <c r="F102" t="s">
        <v>53</v>
      </c>
      <c r="G102" t="s">
        <v>100</v>
      </c>
      <c r="H102" t="s">
        <v>101</v>
      </c>
      <c r="I102" t="s">
        <v>26</v>
      </c>
      <c r="J102" t="s">
        <v>91</v>
      </c>
      <c r="K102" t="s">
        <v>153</v>
      </c>
      <c r="L102">
        <v>3</v>
      </c>
      <c r="M102">
        <v>800</v>
      </c>
      <c r="N102">
        <v>0.2</v>
      </c>
      <c r="O102">
        <v>1920</v>
      </c>
      <c r="P102">
        <v>194.43</v>
      </c>
      <c r="Q102">
        <v>450.56</v>
      </c>
      <c r="R102" t="s">
        <v>64</v>
      </c>
    </row>
    <row r="103" spans="1:18" x14ac:dyDescent="0.3">
      <c r="A103" t="s">
        <v>345</v>
      </c>
      <c r="B103" s="4" t="s">
        <v>342</v>
      </c>
      <c r="C103" t="s">
        <v>242</v>
      </c>
      <c r="D103" t="s">
        <v>243</v>
      </c>
      <c r="E103" t="s">
        <v>52</v>
      </c>
      <c r="F103" t="s">
        <v>23</v>
      </c>
      <c r="G103" t="s">
        <v>74</v>
      </c>
      <c r="H103" t="s">
        <v>152</v>
      </c>
      <c r="I103" t="s">
        <v>26</v>
      </c>
      <c r="J103" t="s">
        <v>69</v>
      </c>
      <c r="K103" t="s">
        <v>80</v>
      </c>
      <c r="L103">
        <v>5</v>
      </c>
      <c r="M103">
        <v>50000</v>
      </c>
      <c r="N103">
        <v>0</v>
      </c>
      <c r="O103">
        <v>250000</v>
      </c>
      <c r="P103">
        <v>43660.160000000003</v>
      </c>
      <c r="Q103">
        <v>438.57</v>
      </c>
      <c r="R103" t="s">
        <v>64</v>
      </c>
    </row>
    <row r="104" spans="1:18" x14ac:dyDescent="0.3">
      <c r="A104" t="s">
        <v>346</v>
      </c>
      <c r="B104" s="4" t="s">
        <v>347</v>
      </c>
      <c r="C104" t="s">
        <v>32</v>
      </c>
      <c r="D104" t="s">
        <v>33</v>
      </c>
      <c r="E104" t="s">
        <v>22</v>
      </c>
      <c r="F104" t="s">
        <v>106</v>
      </c>
      <c r="G104" t="s">
        <v>107</v>
      </c>
      <c r="H104" t="s">
        <v>139</v>
      </c>
      <c r="I104" t="s">
        <v>47</v>
      </c>
      <c r="J104" t="s">
        <v>48</v>
      </c>
      <c r="K104" t="s">
        <v>196</v>
      </c>
      <c r="L104">
        <v>2</v>
      </c>
      <c r="M104">
        <v>2500</v>
      </c>
      <c r="N104">
        <v>0.05</v>
      </c>
      <c r="O104">
        <v>4750</v>
      </c>
      <c r="P104">
        <v>820.95</v>
      </c>
      <c r="Q104">
        <v>163.68</v>
      </c>
      <c r="R104" t="s">
        <v>64</v>
      </c>
    </row>
    <row r="105" spans="1:18" x14ac:dyDescent="0.3">
      <c r="A105" t="s">
        <v>348</v>
      </c>
      <c r="B105" s="4" t="s">
        <v>349</v>
      </c>
      <c r="C105" t="s">
        <v>89</v>
      </c>
      <c r="D105" t="s">
        <v>90</v>
      </c>
      <c r="E105" t="s">
        <v>67</v>
      </c>
      <c r="F105" t="s">
        <v>44</v>
      </c>
      <c r="G105" t="s">
        <v>216</v>
      </c>
      <c r="H105" t="s">
        <v>316</v>
      </c>
      <c r="I105" t="s">
        <v>26</v>
      </c>
      <c r="J105" t="s">
        <v>27</v>
      </c>
      <c r="K105" t="s">
        <v>187</v>
      </c>
      <c r="L105">
        <v>5</v>
      </c>
      <c r="M105">
        <v>18000</v>
      </c>
      <c r="N105">
        <v>0.15</v>
      </c>
      <c r="O105">
        <v>76500</v>
      </c>
      <c r="P105">
        <v>14291.83</v>
      </c>
      <c r="Q105">
        <v>249.01</v>
      </c>
      <c r="R105" t="s">
        <v>29</v>
      </c>
    </row>
    <row r="106" spans="1:18" x14ac:dyDescent="0.3">
      <c r="A106" t="s">
        <v>350</v>
      </c>
      <c r="B106" s="4" t="s">
        <v>336</v>
      </c>
      <c r="C106" t="s">
        <v>143</v>
      </c>
      <c r="D106" t="s">
        <v>144</v>
      </c>
      <c r="E106" t="s">
        <v>22</v>
      </c>
      <c r="F106" t="s">
        <v>23</v>
      </c>
      <c r="G106" t="s">
        <v>24</v>
      </c>
      <c r="H106" t="s">
        <v>351</v>
      </c>
      <c r="I106" t="s">
        <v>36</v>
      </c>
      <c r="J106" t="s">
        <v>113</v>
      </c>
      <c r="K106" t="s">
        <v>262</v>
      </c>
      <c r="L106">
        <v>4</v>
      </c>
      <c r="M106">
        <v>2500</v>
      </c>
      <c r="N106">
        <v>0</v>
      </c>
      <c r="O106">
        <v>10000</v>
      </c>
      <c r="P106">
        <v>1175.0899999999999</v>
      </c>
      <c r="Q106">
        <v>84.06</v>
      </c>
      <c r="R106" t="s">
        <v>29</v>
      </c>
    </row>
    <row r="107" spans="1:18" x14ac:dyDescent="0.3">
      <c r="A107" t="s">
        <v>352</v>
      </c>
      <c r="B107" s="4" t="s">
        <v>353</v>
      </c>
      <c r="C107" t="s">
        <v>72</v>
      </c>
      <c r="D107" t="s">
        <v>73</v>
      </c>
      <c r="E107" t="s">
        <v>22</v>
      </c>
      <c r="F107" t="s">
        <v>23</v>
      </c>
      <c r="G107" t="s">
        <v>34</v>
      </c>
      <c r="H107" t="s">
        <v>35</v>
      </c>
      <c r="I107" t="s">
        <v>36</v>
      </c>
      <c r="J107" t="s">
        <v>113</v>
      </c>
      <c r="K107" t="s">
        <v>246</v>
      </c>
      <c r="L107">
        <v>1</v>
      </c>
      <c r="M107">
        <v>1200</v>
      </c>
      <c r="N107">
        <v>0.1</v>
      </c>
      <c r="O107">
        <v>1080</v>
      </c>
      <c r="P107">
        <v>252.23</v>
      </c>
      <c r="Q107">
        <v>334.92</v>
      </c>
      <c r="R107" t="s">
        <v>39</v>
      </c>
    </row>
    <row r="108" spans="1:18" x14ac:dyDescent="0.3">
      <c r="A108" t="s">
        <v>354</v>
      </c>
      <c r="B108" s="4" t="s">
        <v>355</v>
      </c>
      <c r="C108" t="s">
        <v>20</v>
      </c>
      <c r="D108" t="s">
        <v>21</v>
      </c>
      <c r="E108" t="s">
        <v>67</v>
      </c>
      <c r="F108" t="s">
        <v>53</v>
      </c>
      <c r="G108" t="s">
        <v>100</v>
      </c>
      <c r="H108" t="s">
        <v>101</v>
      </c>
      <c r="I108" t="s">
        <v>26</v>
      </c>
      <c r="J108" t="s">
        <v>69</v>
      </c>
      <c r="K108" t="s">
        <v>136</v>
      </c>
      <c r="L108">
        <v>3</v>
      </c>
      <c r="M108">
        <v>42000</v>
      </c>
      <c r="N108">
        <v>0</v>
      </c>
      <c r="O108">
        <v>126000</v>
      </c>
      <c r="P108">
        <v>16873.07</v>
      </c>
      <c r="Q108">
        <v>104.95</v>
      </c>
      <c r="R108" t="s">
        <v>29</v>
      </c>
    </row>
    <row r="109" spans="1:18" x14ac:dyDescent="0.3">
      <c r="A109" t="s">
        <v>356</v>
      </c>
      <c r="B109" s="4" t="s">
        <v>357</v>
      </c>
      <c r="C109" t="s">
        <v>117</v>
      </c>
      <c r="D109" t="s">
        <v>118</v>
      </c>
      <c r="E109" t="s">
        <v>67</v>
      </c>
      <c r="F109" t="s">
        <v>53</v>
      </c>
      <c r="G109" t="s">
        <v>100</v>
      </c>
      <c r="H109" t="s">
        <v>101</v>
      </c>
      <c r="I109" t="s">
        <v>26</v>
      </c>
      <c r="J109" t="s">
        <v>27</v>
      </c>
      <c r="K109" t="s">
        <v>358</v>
      </c>
      <c r="L109">
        <v>5</v>
      </c>
      <c r="M109">
        <v>22000</v>
      </c>
      <c r="N109">
        <v>0</v>
      </c>
      <c r="O109">
        <v>110000</v>
      </c>
      <c r="P109">
        <v>20304.689999999999</v>
      </c>
      <c r="Q109">
        <v>458.19</v>
      </c>
      <c r="R109" t="s">
        <v>64</v>
      </c>
    </row>
    <row r="110" spans="1:18" x14ac:dyDescent="0.3">
      <c r="A110" t="s">
        <v>359</v>
      </c>
      <c r="B110" s="4" t="s">
        <v>360</v>
      </c>
      <c r="C110" t="s">
        <v>94</v>
      </c>
      <c r="D110" t="s">
        <v>95</v>
      </c>
      <c r="E110" t="s">
        <v>67</v>
      </c>
      <c r="F110" t="s">
        <v>44</v>
      </c>
      <c r="G110" t="s">
        <v>216</v>
      </c>
      <c r="H110" t="s">
        <v>266</v>
      </c>
      <c r="I110" t="s">
        <v>47</v>
      </c>
      <c r="J110" t="s">
        <v>48</v>
      </c>
      <c r="K110" t="s">
        <v>196</v>
      </c>
      <c r="L110">
        <v>3</v>
      </c>
      <c r="M110">
        <v>2500</v>
      </c>
      <c r="N110">
        <v>0.15</v>
      </c>
      <c r="O110">
        <v>6375</v>
      </c>
      <c r="P110">
        <v>990.21</v>
      </c>
      <c r="Q110">
        <v>66.42</v>
      </c>
      <c r="R110" t="s">
        <v>64</v>
      </c>
    </row>
    <row r="111" spans="1:18" x14ac:dyDescent="0.3">
      <c r="A111" t="s">
        <v>361</v>
      </c>
      <c r="B111" s="4" t="s">
        <v>347</v>
      </c>
      <c r="C111" t="s">
        <v>242</v>
      </c>
      <c r="D111" t="s">
        <v>243</v>
      </c>
      <c r="E111" t="s">
        <v>22</v>
      </c>
      <c r="F111" t="s">
        <v>53</v>
      </c>
      <c r="G111" t="s">
        <v>54</v>
      </c>
      <c r="H111" t="s">
        <v>112</v>
      </c>
      <c r="I111" t="s">
        <v>36</v>
      </c>
      <c r="J111" t="s">
        <v>37</v>
      </c>
      <c r="K111" t="s">
        <v>280</v>
      </c>
      <c r="L111">
        <v>5</v>
      </c>
      <c r="M111">
        <v>25000</v>
      </c>
      <c r="N111">
        <v>0</v>
      </c>
      <c r="O111">
        <v>125000</v>
      </c>
      <c r="P111">
        <v>15415.49</v>
      </c>
      <c r="Q111">
        <v>372.01</v>
      </c>
      <c r="R111" t="s">
        <v>29</v>
      </c>
    </row>
    <row r="112" spans="1:18" x14ac:dyDescent="0.3">
      <c r="A112" t="s">
        <v>362</v>
      </c>
      <c r="B112" s="4" t="s">
        <v>363</v>
      </c>
      <c r="C112" t="s">
        <v>60</v>
      </c>
      <c r="D112" t="s">
        <v>61</v>
      </c>
      <c r="E112" t="s">
        <v>67</v>
      </c>
      <c r="F112" t="s">
        <v>44</v>
      </c>
      <c r="G112" t="s">
        <v>45</v>
      </c>
      <c r="H112" t="s">
        <v>198</v>
      </c>
      <c r="I112" t="s">
        <v>26</v>
      </c>
      <c r="J112" t="s">
        <v>91</v>
      </c>
      <c r="K112" t="s">
        <v>109</v>
      </c>
      <c r="L112">
        <v>4</v>
      </c>
      <c r="M112">
        <v>8000</v>
      </c>
      <c r="N112">
        <v>0</v>
      </c>
      <c r="O112">
        <v>32000</v>
      </c>
      <c r="P112">
        <v>7774.95</v>
      </c>
      <c r="Q112">
        <v>164.3</v>
      </c>
      <c r="R112" t="s">
        <v>57</v>
      </c>
    </row>
    <row r="113" spans="1:18" x14ac:dyDescent="0.3">
      <c r="A113" t="s">
        <v>364</v>
      </c>
      <c r="B113" s="4" t="s">
        <v>365</v>
      </c>
      <c r="C113" t="s">
        <v>72</v>
      </c>
      <c r="D113" t="s">
        <v>73</v>
      </c>
      <c r="E113" t="s">
        <v>52</v>
      </c>
      <c r="F113" t="s">
        <v>106</v>
      </c>
      <c r="G113" t="s">
        <v>306</v>
      </c>
      <c r="H113" t="s">
        <v>366</v>
      </c>
      <c r="I113" t="s">
        <v>47</v>
      </c>
      <c r="J113" t="s">
        <v>48</v>
      </c>
      <c r="K113" t="s">
        <v>63</v>
      </c>
      <c r="L113">
        <v>4</v>
      </c>
      <c r="M113">
        <v>2800</v>
      </c>
      <c r="N113">
        <v>0.1</v>
      </c>
      <c r="O113">
        <v>10080</v>
      </c>
      <c r="P113">
        <v>2539.7399999999998</v>
      </c>
      <c r="Q113">
        <v>189.73</v>
      </c>
      <c r="R113" t="s">
        <v>29</v>
      </c>
    </row>
    <row r="114" spans="1:18" x14ac:dyDescent="0.3">
      <c r="A114" t="s">
        <v>367</v>
      </c>
      <c r="B114" s="4" t="s">
        <v>365</v>
      </c>
      <c r="C114" t="s">
        <v>122</v>
      </c>
      <c r="D114" t="s">
        <v>123</v>
      </c>
      <c r="E114" t="s">
        <v>52</v>
      </c>
      <c r="F114" t="s">
        <v>106</v>
      </c>
      <c r="G114" t="s">
        <v>149</v>
      </c>
      <c r="H114" t="s">
        <v>150</v>
      </c>
      <c r="I114" t="s">
        <v>26</v>
      </c>
      <c r="J114" t="s">
        <v>69</v>
      </c>
      <c r="K114" t="s">
        <v>145</v>
      </c>
      <c r="L114">
        <v>1</v>
      </c>
      <c r="M114">
        <v>55000</v>
      </c>
      <c r="N114">
        <v>0.2</v>
      </c>
      <c r="O114">
        <v>44000</v>
      </c>
      <c r="P114">
        <v>9584.7900000000009</v>
      </c>
      <c r="Q114">
        <v>244.29</v>
      </c>
      <c r="R114" t="s">
        <v>39</v>
      </c>
    </row>
    <row r="115" spans="1:18" x14ac:dyDescent="0.3">
      <c r="A115" t="s">
        <v>368</v>
      </c>
      <c r="B115" s="4" t="s">
        <v>363</v>
      </c>
      <c r="C115" t="s">
        <v>42</v>
      </c>
      <c r="D115" t="s">
        <v>43</v>
      </c>
      <c r="E115" t="s">
        <v>67</v>
      </c>
      <c r="F115" t="s">
        <v>53</v>
      </c>
      <c r="G115" t="s">
        <v>100</v>
      </c>
      <c r="H115" t="s">
        <v>213</v>
      </c>
      <c r="I115" t="s">
        <v>26</v>
      </c>
      <c r="J115" t="s">
        <v>91</v>
      </c>
      <c r="K115" t="s">
        <v>199</v>
      </c>
      <c r="L115">
        <v>3</v>
      </c>
      <c r="M115">
        <v>3500</v>
      </c>
      <c r="N115">
        <v>0.1</v>
      </c>
      <c r="O115">
        <v>9450</v>
      </c>
      <c r="P115">
        <v>2098.79</v>
      </c>
      <c r="Q115">
        <v>327.61</v>
      </c>
      <c r="R115" t="s">
        <v>57</v>
      </c>
    </row>
    <row r="116" spans="1:18" x14ac:dyDescent="0.3">
      <c r="A116" t="s">
        <v>369</v>
      </c>
      <c r="B116" s="4" t="s">
        <v>355</v>
      </c>
      <c r="C116" t="s">
        <v>60</v>
      </c>
      <c r="D116" t="s">
        <v>61</v>
      </c>
      <c r="E116" t="s">
        <v>52</v>
      </c>
      <c r="F116" t="s">
        <v>106</v>
      </c>
      <c r="G116" t="s">
        <v>306</v>
      </c>
      <c r="H116" t="s">
        <v>307</v>
      </c>
      <c r="I116" t="s">
        <v>47</v>
      </c>
      <c r="J116" t="s">
        <v>119</v>
      </c>
      <c r="K116" t="s">
        <v>310</v>
      </c>
      <c r="L116">
        <v>3</v>
      </c>
      <c r="M116">
        <v>1500</v>
      </c>
      <c r="N116">
        <v>0</v>
      </c>
      <c r="O116">
        <v>4500</v>
      </c>
      <c r="P116">
        <v>1013.45</v>
      </c>
      <c r="Q116">
        <v>160.15</v>
      </c>
      <c r="R116" t="s">
        <v>39</v>
      </c>
    </row>
    <row r="117" spans="1:18" x14ac:dyDescent="0.3">
      <c r="A117" t="s">
        <v>370</v>
      </c>
      <c r="B117" s="4" t="s">
        <v>357</v>
      </c>
      <c r="C117" t="s">
        <v>60</v>
      </c>
      <c r="D117" t="s">
        <v>61</v>
      </c>
      <c r="E117" t="s">
        <v>22</v>
      </c>
      <c r="F117" t="s">
        <v>44</v>
      </c>
      <c r="G117" t="s">
        <v>216</v>
      </c>
      <c r="H117" t="s">
        <v>217</v>
      </c>
      <c r="I117" t="s">
        <v>36</v>
      </c>
      <c r="J117" t="s">
        <v>37</v>
      </c>
      <c r="K117" t="s">
        <v>371</v>
      </c>
      <c r="L117">
        <v>5</v>
      </c>
      <c r="M117">
        <v>4500</v>
      </c>
      <c r="N117">
        <v>0</v>
      </c>
      <c r="O117">
        <v>22500</v>
      </c>
      <c r="P117">
        <v>5865.44</v>
      </c>
      <c r="Q117">
        <v>258.08</v>
      </c>
      <c r="R117" t="s">
        <v>57</v>
      </c>
    </row>
    <row r="118" spans="1:18" x14ac:dyDescent="0.3">
      <c r="A118" t="s">
        <v>372</v>
      </c>
      <c r="B118" s="4" t="s">
        <v>373</v>
      </c>
      <c r="C118" t="s">
        <v>104</v>
      </c>
      <c r="D118" t="s">
        <v>105</v>
      </c>
      <c r="E118" t="s">
        <v>22</v>
      </c>
      <c r="F118" t="s">
        <v>44</v>
      </c>
      <c r="G118" t="s">
        <v>45</v>
      </c>
      <c r="H118" t="s">
        <v>46</v>
      </c>
      <c r="I118" t="s">
        <v>47</v>
      </c>
      <c r="J118" t="s">
        <v>48</v>
      </c>
      <c r="K118" t="s">
        <v>196</v>
      </c>
      <c r="L118">
        <v>5</v>
      </c>
      <c r="M118">
        <v>2500</v>
      </c>
      <c r="N118">
        <v>0.2</v>
      </c>
      <c r="O118">
        <v>10000</v>
      </c>
      <c r="P118">
        <v>1781.33</v>
      </c>
      <c r="Q118">
        <v>134.13999999999999</v>
      </c>
      <c r="R118" t="s">
        <v>64</v>
      </c>
    </row>
    <row r="119" spans="1:18" x14ac:dyDescent="0.3">
      <c r="A119" t="s">
        <v>374</v>
      </c>
      <c r="B119" s="4" t="s">
        <v>375</v>
      </c>
      <c r="C119" t="s">
        <v>242</v>
      </c>
      <c r="D119" t="s">
        <v>243</v>
      </c>
      <c r="E119" t="s">
        <v>22</v>
      </c>
      <c r="F119" t="s">
        <v>44</v>
      </c>
      <c r="G119" t="s">
        <v>216</v>
      </c>
      <c r="H119" t="s">
        <v>266</v>
      </c>
      <c r="I119" t="s">
        <v>26</v>
      </c>
      <c r="J119" t="s">
        <v>91</v>
      </c>
      <c r="K119" t="s">
        <v>199</v>
      </c>
      <c r="L119">
        <v>1</v>
      </c>
      <c r="M119">
        <v>3500</v>
      </c>
      <c r="N119">
        <v>0</v>
      </c>
      <c r="O119">
        <v>3500</v>
      </c>
      <c r="P119">
        <v>521.07000000000005</v>
      </c>
      <c r="Q119">
        <v>251.42</v>
      </c>
      <c r="R119" t="s">
        <v>57</v>
      </c>
    </row>
    <row r="120" spans="1:18" x14ac:dyDescent="0.3">
      <c r="A120" t="s">
        <v>376</v>
      </c>
      <c r="B120" s="4" t="s">
        <v>377</v>
      </c>
      <c r="C120" t="s">
        <v>134</v>
      </c>
      <c r="D120" t="s">
        <v>135</v>
      </c>
      <c r="E120" t="s">
        <v>22</v>
      </c>
      <c r="F120" t="s">
        <v>53</v>
      </c>
      <c r="G120" t="s">
        <v>100</v>
      </c>
      <c r="H120" t="s">
        <v>213</v>
      </c>
      <c r="I120" t="s">
        <v>26</v>
      </c>
      <c r="J120" t="s">
        <v>27</v>
      </c>
      <c r="K120" t="s">
        <v>187</v>
      </c>
      <c r="L120">
        <v>5</v>
      </c>
      <c r="M120">
        <v>18000</v>
      </c>
      <c r="N120">
        <v>0</v>
      </c>
      <c r="O120">
        <v>90000</v>
      </c>
      <c r="P120">
        <v>12755</v>
      </c>
      <c r="Q120">
        <v>404.75</v>
      </c>
      <c r="R120" t="s">
        <v>39</v>
      </c>
    </row>
    <row r="121" spans="1:18" x14ac:dyDescent="0.3">
      <c r="A121" t="s">
        <v>378</v>
      </c>
      <c r="B121" s="4" t="s">
        <v>379</v>
      </c>
      <c r="C121" t="s">
        <v>162</v>
      </c>
      <c r="D121" t="s">
        <v>163</v>
      </c>
      <c r="E121" t="s">
        <v>52</v>
      </c>
      <c r="F121" t="s">
        <v>106</v>
      </c>
      <c r="G121" t="s">
        <v>306</v>
      </c>
      <c r="H121" t="s">
        <v>366</v>
      </c>
      <c r="I121" t="s">
        <v>26</v>
      </c>
      <c r="J121" t="s">
        <v>69</v>
      </c>
      <c r="K121" t="s">
        <v>70</v>
      </c>
      <c r="L121">
        <v>1</v>
      </c>
      <c r="M121">
        <v>45000</v>
      </c>
      <c r="N121">
        <v>0</v>
      </c>
      <c r="O121">
        <v>45000</v>
      </c>
      <c r="P121">
        <v>8831.26</v>
      </c>
      <c r="Q121">
        <v>81.75</v>
      </c>
      <c r="R121" t="s">
        <v>64</v>
      </c>
    </row>
    <row r="122" spans="1:18" x14ac:dyDescent="0.3">
      <c r="A122" t="s">
        <v>380</v>
      </c>
      <c r="B122" s="4" t="s">
        <v>377</v>
      </c>
      <c r="C122" t="s">
        <v>20</v>
      </c>
      <c r="D122" t="s">
        <v>21</v>
      </c>
      <c r="E122" t="s">
        <v>52</v>
      </c>
      <c r="F122" t="s">
        <v>23</v>
      </c>
      <c r="G122" t="s">
        <v>74</v>
      </c>
      <c r="H122" t="s">
        <v>75</v>
      </c>
      <c r="I122" t="s">
        <v>26</v>
      </c>
      <c r="J122" t="s">
        <v>27</v>
      </c>
      <c r="K122" t="s">
        <v>76</v>
      </c>
      <c r="L122">
        <v>5</v>
      </c>
      <c r="M122">
        <v>75000</v>
      </c>
      <c r="N122">
        <v>0</v>
      </c>
      <c r="O122">
        <v>375000</v>
      </c>
      <c r="P122">
        <v>84449.9</v>
      </c>
      <c r="Q122">
        <v>51.43</v>
      </c>
      <c r="R122" t="s">
        <v>39</v>
      </c>
    </row>
    <row r="123" spans="1:18" x14ac:dyDescent="0.3">
      <c r="A123" t="s">
        <v>381</v>
      </c>
      <c r="B123" s="4" t="s">
        <v>382</v>
      </c>
      <c r="C123" t="s">
        <v>117</v>
      </c>
      <c r="D123" t="s">
        <v>118</v>
      </c>
      <c r="E123" t="s">
        <v>67</v>
      </c>
      <c r="F123" t="s">
        <v>106</v>
      </c>
      <c r="G123" t="s">
        <v>149</v>
      </c>
      <c r="H123" t="s">
        <v>150</v>
      </c>
      <c r="I123" t="s">
        <v>26</v>
      </c>
      <c r="J123" t="s">
        <v>69</v>
      </c>
      <c r="K123" t="s">
        <v>80</v>
      </c>
      <c r="L123">
        <v>5</v>
      </c>
      <c r="M123">
        <v>50000</v>
      </c>
      <c r="N123">
        <v>0</v>
      </c>
      <c r="O123">
        <v>250000</v>
      </c>
      <c r="P123">
        <v>64909.52</v>
      </c>
      <c r="Q123">
        <v>155.21</v>
      </c>
      <c r="R123" t="s">
        <v>39</v>
      </c>
    </row>
    <row r="124" spans="1:18" x14ac:dyDescent="0.3">
      <c r="A124" t="s">
        <v>383</v>
      </c>
      <c r="B124" s="4" t="s">
        <v>384</v>
      </c>
      <c r="C124" t="s">
        <v>143</v>
      </c>
      <c r="D124" t="s">
        <v>144</v>
      </c>
      <c r="E124" t="s">
        <v>52</v>
      </c>
      <c r="F124" t="s">
        <v>44</v>
      </c>
      <c r="G124" t="s">
        <v>192</v>
      </c>
      <c r="H124" t="s">
        <v>271</v>
      </c>
      <c r="I124" t="s">
        <v>36</v>
      </c>
      <c r="J124" t="s">
        <v>113</v>
      </c>
      <c r="K124" t="s">
        <v>159</v>
      </c>
      <c r="L124">
        <v>4</v>
      </c>
      <c r="M124">
        <v>1500</v>
      </c>
      <c r="N124">
        <v>0</v>
      </c>
      <c r="O124">
        <v>6000</v>
      </c>
      <c r="P124">
        <v>748.43</v>
      </c>
      <c r="Q124">
        <v>304.23</v>
      </c>
      <c r="R124" t="s">
        <v>39</v>
      </c>
    </row>
    <row r="125" spans="1:18" x14ac:dyDescent="0.3">
      <c r="A125" t="s">
        <v>385</v>
      </c>
      <c r="B125" s="4" t="s">
        <v>373</v>
      </c>
      <c r="C125" t="s">
        <v>206</v>
      </c>
      <c r="D125" t="s">
        <v>207</v>
      </c>
      <c r="E125" t="s">
        <v>22</v>
      </c>
      <c r="F125" t="s">
        <v>23</v>
      </c>
      <c r="G125" t="s">
        <v>34</v>
      </c>
      <c r="H125" t="s">
        <v>35</v>
      </c>
      <c r="I125" t="s">
        <v>36</v>
      </c>
      <c r="J125" t="s">
        <v>140</v>
      </c>
      <c r="K125" t="s">
        <v>337</v>
      </c>
      <c r="L125">
        <v>3</v>
      </c>
      <c r="M125">
        <v>5500</v>
      </c>
      <c r="N125">
        <v>0.05</v>
      </c>
      <c r="O125">
        <v>15675</v>
      </c>
      <c r="P125">
        <v>1890.78</v>
      </c>
      <c r="Q125">
        <v>188.79</v>
      </c>
      <c r="R125" t="s">
        <v>29</v>
      </c>
    </row>
    <row r="126" spans="1:18" x14ac:dyDescent="0.3">
      <c r="A126" t="s">
        <v>386</v>
      </c>
      <c r="B126" s="4" t="s">
        <v>375</v>
      </c>
      <c r="C126" t="s">
        <v>147</v>
      </c>
      <c r="D126" t="s">
        <v>148</v>
      </c>
      <c r="E126" t="s">
        <v>67</v>
      </c>
      <c r="F126" t="s">
        <v>53</v>
      </c>
      <c r="G126" t="s">
        <v>100</v>
      </c>
      <c r="H126" t="s">
        <v>101</v>
      </c>
      <c r="I126" t="s">
        <v>36</v>
      </c>
      <c r="J126" t="s">
        <v>140</v>
      </c>
      <c r="K126" t="s">
        <v>287</v>
      </c>
      <c r="L126">
        <v>2</v>
      </c>
      <c r="M126">
        <v>4000</v>
      </c>
      <c r="N126">
        <v>0</v>
      </c>
      <c r="O126">
        <v>8000</v>
      </c>
      <c r="P126">
        <v>985.14</v>
      </c>
      <c r="Q126">
        <v>378.57</v>
      </c>
      <c r="R126" t="s">
        <v>29</v>
      </c>
    </row>
    <row r="127" spans="1:18" x14ac:dyDescent="0.3">
      <c r="A127" t="s">
        <v>387</v>
      </c>
      <c r="B127" s="4" t="s">
        <v>388</v>
      </c>
      <c r="C127" t="s">
        <v>157</v>
      </c>
      <c r="D127" t="s">
        <v>158</v>
      </c>
      <c r="E127" t="s">
        <v>67</v>
      </c>
      <c r="F127" t="s">
        <v>53</v>
      </c>
      <c r="G127" t="s">
        <v>100</v>
      </c>
      <c r="H127" t="s">
        <v>213</v>
      </c>
      <c r="I127" t="s">
        <v>47</v>
      </c>
      <c r="J127" t="s">
        <v>85</v>
      </c>
      <c r="K127" t="s">
        <v>86</v>
      </c>
      <c r="L127">
        <v>2</v>
      </c>
      <c r="M127">
        <v>3500</v>
      </c>
      <c r="N127">
        <v>0</v>
      </c>
      <c r="O127">
        <v>7000</v>
      </c>
      <c r="P127">
        <v>803.92</v>
      </c>
      <c r="Q127">
        <v>93.48</v>
      </c>
      <c r="R127" t="s">
        <v>39</v>
      </c>
    </row>
    <row r="128" spans="1:18" x14ac:dyDescent="0.3">
      <c r="A128" t="s">
        <v>389</v>
      </c>
      <c r="B128" s="4" t="s">
        <v>390</v>
      </c>
      <c r="C128" t="s">
        <v>32</v>
      </c>
      <c r="D128" t="s">
        <v>33</v>
      </c>
      <c r="E128" t="s">
        <v>22</v>
      </c>
      <c r="F128" t="s">
        <v>23</v>
      </c>
      <c r="G128" t="s">
        <v>34</v>
      </c>
      <c r="H128" t="s">
        <v>239</v>
      </c>
      <c r="I128" t="s">
        <v>47</v>
      </c>
      <c r="J128" t="s">
        <v>48</v>
      </c>
      <c r="K128" t="s">
        <v>63</v>
      </c>
      <c r="L128">
        <v>1</v>
      </c>
      <c r="M128">
        <v>2800</v>
      </c>
      <c r="N128">
        <v>0.05</v>
      </c>
      <c r="O128">
        <v>2660</v>
      </c>
      <c r="P128">
        <v>528.84</v>
      </c>
      <c r="Q128">
        <v>154.19</v>
      </c>
      <c r="R128" t="s">
        <v>39</v>
      </c>
    </row>
    <row r="129" spans="1:18" x14ac:dyDescent="0.3">
      <c r="A129" t="s">
        <v>391</v>
      </c>
      <c r="B129" s="4" t="s">
        <v>392</v>
      </c>
      <c r="C129" t="s">
        <v>242</v>
      </c>
      <c r="D129" t="s">
        <v>243</v>
      </c>
      <c r="E129" t="s">
        <v>22</v>
      </c>
      <c r="F129" t="s">
        <v>23</v>
      </c>
      <c r="G129" t="s">
        <v>24</v>
      </c>
      <c r="H129" t="s">
        <v>25</v>
      </c>
      <c r="I129" t="s">
        <v>26</v>
      </c>
      <c r="J129" t="s">
        <v>69</v>
      </c>
      <c r="K129" t="s">
        <v>131</v>
      </c>
      <c r="L129">
        <v>5</v>
      </c>
      <c r="M129">
        <v>115000</v>
      </c>
      <c r="N129">
        <v>0</v>
      </c>
      <c r="O129">
        <v>575000</v>
      </c>
      <c r="P129">
        <v>114209.14</v>
      </c>
      <c r="Q129">
        <v>158.65</v>
      </c>
      <c r="R129" t="s">
        <v>64</v>
      </c>
    </row>
    <row r="130" spans="1:18" x14ac:dyDescent="0.3">
      <c r="A130" t="s">
        <v>393</v>
      </c>
      <c r="B130" s="4" t="s">
        <v>394</v>
      </c>
      <c r="C130" t="s">
        <v>278</v>
      </c>
      <c r="D130" t="s">
        <v>279</v>
      </c>
      <c r="E130" t="s">
        <v>22</v>
      </c>
      <c r="F130" t="s">
        <v>53</v>
      </c>
      <c r="G130" t="s">
        <v>54</v>
      </c>
      <c r="H130" t="s">
        <v>112</v>
      </c>
      <c r="I130" t="s">
        <v>26</v>
      </c>
      <c r="J130" t="s">
        <v>69</v>
      </c>
      <c r="K130" t="s">
        <v>80</v>
      </c>
      <c r="L130">
        <v>2</v>
      </c>
      <c r="M130">
        <v>50000</v>
      </c>
      <c r="N130">
        <v>0.1</v>
      </c>
      <c r="O130">
        <v>90000</v>
      </c>
      <c r="P130">
        <v>10659.77</v>
      </c>
      <c r="Q130">
        <v>332.92</v>
      </c>
      <c r="R130" t="s">
        <v>57</v>
      </c>
    </row>
    <row r="131" spans="1:18" x14ac:dyDescent="0.3">
      <c r="A131" t="s">
        <v>395</v>
      </c>
      <c r="B131" s="4" t="s">
        <v>392</v>
      </c>
      <c r="C131" t="s">
        <v>78</v>
      </c>
      <c r="D131" t="s">
        <v>79</v>
      </c>
      <c r="E131" t="s">
        <v>22</v>
      </c>
      <c r="F131" t="s">
        <v>23</v>
      </c>
      <c r="G131" t="s">
        <v>74</v>
      </c>
      <c r="H131" t="s">
        <v>75</v>
      </c>
      <c r="I131" t="s">
        <v>26</v>
      </c>
      <c r="J131" t="s">
        <v>69</v>
      </c>
      <c r="K131" t="s">
        <v>80</v>
      </c>
      <c r="L131">
        <v>1</v>
      </c>
      <c r="M131">
        <v>50000</v>
      </c>
      <c r="N131">
        <v>0</v>
      </c>
      <c r="O131">
        <v>50000</v>
      </c>
      <c r="P131">
        <v>7388.56</v>
      </c>
      <c r="Q131">
        <v>101.69</v>
      </c>
      <c r="R131" t="s">
        <v>57</v>
      </c>
    </row>
    <row r="132" spans="1:18" x14ac:dyDescent="0.3">
      <c r="A132" t="s">
        <v>396</v>
      </c>
      <c r="B132" s="4" t="s">
        <v>397</v>
      </c>
      <c r="C132" t="s">
        <v>104</v>
      </c>
      <c r="D132" t="s">
        <v>105</v>
      </c>
      <c r="E132" t="s">
        <v>22</v>
      </c>
      <c r="F132" t="s">
        <v>106</v>
      </c>
      <c r="G132" t="s">
        <v>306</v>
      </c>
      <c r="H132" t="s">
        <v>307</v>
      </c>
      <c r="I132" t="s">
        <v>47</v>
      </c>
      <c r="J132" t="s">
        <v>85</v>
      </c>
      <c r="K132" t="s">
        <v>274</v>
      </c>
      <c r="L132">
        <v>3</v>
      </c>
      <c r="M132">
        <v>2400</v>
      </c>
      <c r="N132">
        <v>0.1</v>
      </c>
      <c r="O132">
        <v>6480</v>
      </c>
      <c r="P132">
        <v>630.48</v>
      </c>
      <c r="Q132">
        <v>231.5</v>
      </c>
      <c r="R132" t="s">
        <v>39</v>
      </c>
    </row>
    <row r="133" spans="1:18" x14ac:dyDescent="0.3">
      <c r="A133" t="s">
        <v>398</v>
      </c>
      <c r="B133" s="4" t="s">
        <v>384</v>
      </c>
      <c r="C133" t="s">
        <v>206</v>
      </c>
      <c r="D133" t="s">
        <v>207</v>
      </c>
      <c r="E133" t="s">
        <v>52</v>
      </c>
      <c r="F133" t="s">
        <v>53</v>
      </c>
      <c r="G133" t="s">
        <v>100</v>
      </c>
      <c r="H133" t="s">
        <v>101</v>
      </c>
      <c r="I133" t="s">
        <v>47</v>
      </c>
      <c r="J133" t="s">
        <v>48</v>
      </c>
      <c r="K133" t="s">
        <v>196</v>
      </c>
      <c r="L133">
        <v>4</v>
      </c>
      <c r="M133">
        <v>2500</v>
      </c>
      <c r="N133">
        <v>0.05</v>
      </c>
      <c r="O133">
        <v>9500</v>
      </c>
      <c r="P133">
        <v>1421.79</v>
      </c>
      <c r="Q133">
        <v>229.62</v>
      </c>
      <c r="R133" t="s">
        <v>29</v>
      </c>
    </row>
    <row r="134" spans="1:18" x14ac:dyDescent="0.3">
      <c r="A134" t="s">
        <v>399</v>
      </c>
      <c r="B134" s="4" t="s">
        <v>400</v>
      </c>
      <c r="C134" t="s">
        <v>89</v>
      </c>
      <c r="D134" t="s">
        <v>90</v>
      </c>
      <c r="E134" t="s">
        <v>67</v>
      </c>
      <c r="F134" t="s">
        <v>53</v>
      </c>
      <c r="G134" t="s">
        <v>100</v>
      </c>
      <c r="H134" t="s">
        <v>213</v>
      </c>
      <c r="I134" t="s">
        <v>26</v>
      </c>
      <c r="J134" t="s">
        <v>91</v>
      </c>
      <c r="K134" t="s">
        <v>153</v>
      </c>
      <c r="L134">
        <v>3</v>
      </c>
      <c r="M134">
        <v>800</v>
      </c>
      <c r="N134">
        <v>0</v>
      </c>
      <c r="O134">
        <v>2400</v>
      </c>
      <c r="P134">
        <v>604.21</v>
      </c>
      <c r="Q134">
        <v>312.62</v>
      </c>
      <c r="R134" t="s">
        <v>57</v>
      </c>
    </row>
    <row r="135" spans="1:18" x14ac:dyDescent="0.3">
      <c r="A135" t="s">
        <v>401</v>
      </c>
      <c r="B135" s="4" t="s">
        <v>400</v>
      </c>
      <c r="C135" t="s">
        <v>94</v>
      </c>
      <c r="D135" t="s">
        <v>95</v>
      </c>
      <c r="E135" t="s">
        <v>52</v>
      </c>
      <c r="F135" t="s">
        <v>53</v>
      </c>
      <c r="G135" t="s">
        <v>100</v>
      </c>
      <c r="H135" t="s">
        <v>213</v>
      </c>
      <c r="I135" t="s">
        <v>26</v>
      </c>
      <c r="J135" t="s">
        <v>27</v>
      </c>
      <c r="K135" t="s">
        <v>358</v>
      </c>
      <c r="L135">
        <v>3</v>
      </c>
      <c r="M135">
        <v>22000</v>
      </c>
      <c r="N135">
        <v>0</v>
      </c>
      <c r="O135">
        <v>66000</v>
      </c>
      <c r="P135">
        <v>5281.64</v>
      </c>
      <c r="Q135">
        <v>80.31</v>
      </c>
      <c r="R135" t="s">
        <v>39</v>
      </c>
    </row>
    <row r="136" spans="1:18" x14ac:dyDescent="0.3">
      <c r="A136" t="s">
        <v>402</v>
      </c>
      <c r="B136" s="4" t="s">
        <v>403</v>
      </c>
      <c r="C136" t="s">
        <v>32</v>
      </c>
      <c r="D136" t="s">
        <v>33</v>
      </c>
      <c r="E136" t="s">
        <v>67</v>
      </c>
      <c r="F136" t="s">
        <v>106</v>
      </c>
      <c r="G136" t="s">
        <v>107</v>
      </c>
      <c r="H136" t="s">
        <v>108</v>
      </c>
      <c r="I136" t="s">
        <v>36</v>
      </c>
      <c r="J136" t="s">
        <v>140</v>
      </c>
      <c r="K136" t="s">
        <v>404</v>
      </c>
      <c r="L136">
        <v>5</v>
      </c>
      <c r="M136">
        <v>3200</v>
      </c>
      <c r="N136">
        <v>0.15</v>
      </c>
      <c r="O136">
        <v>13600</v>
      </c>
      <c r="P136">
        <v>1483.26</v>
      </c>
      <c r="Q136">
        <v>405</v>
      </c>
      <c r="R136" t="s">
        <v>29</v>
      </c>
    </row>
    <row r="137" spans="1:18" x14ac:dyDescent="0.3">
      <c r="A137" t="s">
        <v>405</v>
      </c>
      <c r="B137" s="4" t="s">
        <v>406</v>
      </c>
      <c r="C137" t="s">
        <v>20</v>
      </c>
      <c r="D137" t="s">
        <v>21</v>
      </c>
      <c r="E137" t="s">
        <v>52</v>
      </c>
      <c r="F137" t="s">
        <v>44</v>
      </c>
      <c r="G137" t="s">
        <v>45</v>
      </c>
      <c r="H137" t="s">
        <v>124</v>
      </c>
      <c r="I137" t="s">
        <v>47</v>
      </c>
      <c r="J137" t="s">
        <v>48</v>
      </c>
      <c r="K137" t="s">
        <v>407</v>
      </c>
      <c r="L137">
        <v>1</v>
      </c>
      <c r="M137">
        <v>1200</v>
      </c>
      <c r="N137">
        <v>0.05</v>
      </c>
      <c r="O137">
        <v>1140</v>
      </c>
      <c r="P137">
        <v>131.07</v>
      </c>
      <c r="Q137">
        <v>229.45</v>
      </c>
      <c r="R137" t="s">
        <v>39</v>
      </c>
    </row>
    <row r="138" spans="1:18" x14ac:dyDescent="0.3">
      <c r="A138" t="s">
        <v>408</v>
      </c>
      <c r="B138" s="4" t="s">
        <v>409</v>
      </c>
      <c r="C138" t="s">
        <v>185</v>
      </c>
      <c r="D138" t="s">
        <v>186</v>
      </c>
      <c r="E138" t="s">
        <v>52</v>
      </c>
      <c r="F138" t="s">
        <v>106</v>
      </c>
      <c r="G138" t="s">
        <v>107</v>
      </c>
      <c r="H138" t="s">
        <v>108</v>
      </c>
      <c r="I138" t="s">
        <v>36</v>
      </c>
      <c r="J138" t="s">
        <v>37</v>
      </c>
      <c r="K138" t="s">
        <v>229</v>
      </c>
      <c r="L138">
        <v>3</v>
      </c>
      <c r="M138">
        <v>18000</v>
      </c>
      <c r="N138">
        <v>0.15</v>
      </c>
      <c r="O138">
        <v>45900</v>
      </c>
      <c r="P138">
        <v>3827.06</v>
      </c>
      <c r="Q138">
        <v>201.13</v>
      </c>
      <c r="R138" t="s">
        <v>57</v>
      </c>
    </row>
    <row r="139" spans="1:18" x14ac:dyDescent="0.3">
      <c r="A139" t="s">
        <v>410</v>
      </c>
      <c r="B139" s="4" t="s">
        <v>411</v>
      </c>
      <c r="C139" t="s">
        <v>134</v>
      </c>
      <c r="D139" t="s">
        <v>135</v>
      </c>
      <c r="E139" t="s">
        <v>22</v>
      </c>
      <c r="F139" t="s">
        <v>44</v>
      </c>
      <c r="G139" t="s">
        <v>45</v>
      </c>
      <c r="H139" t="s">
        <v>96</v>
      </c>
      <c r="I139" t="s">
        <v>36</v>
      </c>
      <c r="J139" t="s">
        <v>113</v>
      </c>
      <c r="K139" t="s">
        <v>220</v>
      </c>
      <c r="L139">
        <v>2</v>
      </c>
      <c r="M139">
        <v>1800</v>
      </c>
      <c r="N139">
        <v>0.05</v>
      </c>
      <c r="O139">
        <v>3420</v>
      </c>
      <c r="P139">
        <v>340.03</v>
      </c>
      <c r="Q139">
        <v>74.25</v>
      </c>
      <c r="R139" t="s">
        <v>64</v>
      </c>
    </row>
    <row r="140" spans="1:18" x14ac:dyDescent="0.3">
      <c r="A140" t="s">
        <v>412</v>
      </c>
      <c r="B140" s="4" t="s">
        <v>413</v>
      </c>
      <c r="C140" t="s">
        <v>178</v>
      </c>
      <c r="D140" t="s">
        <v>179</v>
      </c>
      <c r="E140" t="s">
        <v>22</v>
      </c>
      <c r="F140" t="s">
        <v>44</v>
      </c>
      <c r="G140" t="s">
        <v>45</v>
      </c>
      <c r="H140" t="s">
        <v>96</v>
      </c>
      <c r="I140" t="s">
        <v>26</v>
      </c>
      <c r="J140" t="s">
        <v>91</v>
      </c>
      <c r="K140" t="s">
        <v>92</v>
      </c>
      <c r="L140">
        <v>3</v>
      </c>
      <c r="M140">
        <v>1200</v>
      </c>
      <c r="N140">
        <v>0</v>
      </c>
      <c r="O140">
        <v>3600</v>
      </c>
      <c r="P140">
        <v>409.51</v>
      </c>
      <c r="Q140">
        <v>161.74</v>
      </c>
      <c r="R140" t="s">
        <v>29</v>
      </c>
    </row>
    <row r="141" spans="1:18" x14ac:dyDescent="0.3">
      <c r="A141" t="s">
        <v>414</v>
      </c>
      <c r="B141" s="4" t="s">
        <v>413</v>
      </c>
      <c r="C141" t="s">
        <v>143</v>
      </c>
      <c r="D141" t="s">
        <v>144</v>
      </c>
      <c r="E141" t="s">
        <v>52</v>
      </c>
      <c r="F141" t="s">
        <v>44</v>
      </c>
      <c r="G141" t="s">
        <v>216</v>
      </c>
      <c r="H141" t="s">
        <v>316</v>
      </c>
      <c r="I141" t="s">
        <v>47</v>
      </c>
      <c r="J141" t="s">
        <v>119</v>
      </c>
      <c r="K141" t="s">
        <v>120</v>
      </c>
      <c r="L141">
        <v>5</v>
      </c>
      <c r="M141">
        <v>1800</v>
      </c>
      <c r="N141">
        <v>0</v>
      </c>
      <c r="O141">
        <v>9000</v>
      </c>
      <c r="P141">
        <v>2388.19</v>
      </c>
      <c r="Q141">
        <v>118.99</v>
      </c>
      <c r="R141" t="s">
        <v>64</v>
      </c>
    </row>
    <row r="142" spans="1:18" x14ac:dyDescent="0.3">
      <c r="A142" t="s">
        <v>415</v>
      </c>
      <c r="B142" s="4" t="s">
        <v>416</v>
      </c>
      <c r="C142" t="s">
        <v>178</v>
      </c>
      <c r="D142" t="s">
        <v>179</v>
      </c>
      <c r="E142" t="s">
        <v>67</v>
      </c>
      <c r="F142" t="s">
        <v>44</v>
      </c>
      <c r="G142" t="s">
        <v>192</v>
      </c>
      <c r="H142" t="s">
        <v>201</v>
      </c>
      <c r="I142" t="s">
        <v>36</v>
      </c>
      <c r="J142" t="s">
        <v>113</v>
      </c>
      <c r="K142" t="s">
        <v>262</v>
      </c>
      <c r="L142">
        <v>3</v>
      </c>
      <c r="M142">
        <v>2500</v>
      </c>
      <c r="N142">
        <v>0</v>
      </c>
      <c r="O142">
        <v>7500</v>
      </c>
      <c r="P142">
        <v>1624.06</v>
      </c>
      <c r="Q142">
        <v>139</v>
      </c>
      <c r="R142" t="s">
        <v>64</v>
      </c>
    </row>
    <row r="143" spans="1:18" x14ac:dyDescent="0.3">
      <c r="A143" t="s">
        <v>417</v>
      </c>
      <c r="B143" s="4" t="s">
        <v>418</v>
      </c>
      <c r="C143" t="s">
        <v>122</v>
      </c>
      <c r="D143" t="s">
        <v>123</v>
      </c>
      <c r="E143" t="s">
        <v>22</v>
      </c>
      <c r="F143" t="s">
        <v>44</v>
      </c>
      <c r="G143" t="s">
        <v>192</v>
      </c>
      <c r="H143" t="s">
        <v>271</v>
      </c>
      <c r="I143" t="s">
        <v>26</v>
      </c>
      <c r="J143" t="s">
        <v>69</v>
      </c>
      <c r="K143" t="s">
        <v>70</v>
      </c>
      <c r="L143">
        <v>3</v>
      </c>
      <c r="M143">
        <v>45000</v>
      </c>
      <c r="N143">
        <v>0</v>
      </c>
      <c r="O143">
        <v>135000</v>
      </c>
      <c r="P143">
        <v>21433.97</v>
      </c>
      <c r="Q143">
        <v>354.7</v>
      </c>
      <c r="R143" t="s">
        <v>57</v>
      </c>
    </row>
    <row r="144" spans="1:18" x14ac:dyDescent="0.3">
      <c r="A144" t="s">
        <v>419</v>
      </c>
      <c r="B144" s="4" t="s">
        <v>420</v>
      </c>
      <c r="C144" t="s">
        <v>89</v>
      </c>
      <c r="D144" t="s">
        <v>90</v>
      </c>
      <c r="E144" t="s">
        <v>67</v>
      </c>
      <c r="F144" t="s">
        <v>53</v>
      </c>
      <c r="G144" t="s">
        <v>54</v>
      </c>
      <c r="H144" t="s">
        <v>112</v>
      </c>
      <c r="I144" t="s">
        <v>26</v>
      </c>
      <c r="J144" t="s">
        <v>69</v>
      </c>
      <c r="K144" t="s">
        <v>131</v>
      </c>
      <c r="L144">
        <v>5</v>
      </c>
      <c r="M144">
        <v>115000</v>
      </c>
      <c r="N144">
        <v>0.05</v>
      </c>
      <c r="O144">
        <v>546250</v>
      </c>
      <c r="P144">
        <v>100289.35</v>
      </c>
      <c r="Q144">
        <v>359.04</v>
      </c>
      <c r="R144" t="s">
        <v>57</v>
      </c>
    </row>
    <row r="145" spans="1:18" x14ac:dyDescent="0.3">
      <c r="A145" t="s">
        <v>421</v>
      </c>
      <c r="B145" s="4" t="s">
        <v>411</v>
      </c>
      <c r="C145" t="s">
        <v>89</v>
      </c>
      <c r="D145" t="s">
        <v>90</v>
      </c>
      <c r="E145" t="s">
        <v>52</v>
      </c>
      <c r="F145" t="s">
        <v>44</v>
      </c>
      <c r="G145" t="s">
        <v>45</v>
      </c>
      <c r="H145" t="s">
        <v>198</v>
      </c>
      <c r="I145" t="s">
        <v>36</v>
      </c>
      <c r="J145" t="s">
        <v>113</v>
      </c>
      <c r="K145" t="s">
        <v>114</v>
      </c>
      <c r="L145">
        <v>5</v>
      </c>
      <c r="M145">
        <v>600</v>
      </c>
      <c r="N145">
        <v>0.05</v>
      </c>
      <c r="O145">
        <v>2850</v>
      </c>
      <c r="P145">
        <v>572.76</v>
      </c>
      <c r="Q145">
        <v>265.64999999999998</v>
      </c>
      <c r="R145" t="s">
        <v>29</v>
      </c>
    </row>
    <row r="146" spans="1:18" x14ac:dyDescent="0.3">
      <c r="A146" t="s">
        <v>422</v>
      </c>
      <c r="B146" s="4" t="s">
        <v>423</v>
      </c>
      <c r="C146" t="s">
        <v>42</v>
      </c>
      <c r="D146" t="s">
        <v>43</v>
      </c>
      <c r="E146" t="s">
        <v>22</v>
      </c>
      <c r="F146" t="s">
        <v>106</v>
      </c>
      <c r="G146" t="s">
        <v>149</v>
      </c>
      <c r="H146" t="s">
        <v>150</v>
      </c>
      <c r="I146" t="s">
        <v>26</v>
      </c>
      <c r="J146" t="s">
        <v>27</v>
      </c>
      <c r="K146" t="s">
        <v>56</v>
      </c>
      <c r="L146">
        <v>1</v>
      </c>
      <c r="M146">
        <v>55000</v>
      </c>
      <c r="N146">
        <v>0.1</v>
      </c>
      <c r="O146">
        <v>49500</v>
      </c>
      <c r="P146">
        <v>7109.43</v>
      </c>
      <c r="Q146">
        <v>192.67</v>
      </c>
      <c r="R146" t="s">
        <v>57</v>
      </c>
    </row>
    <row r="147" spans="1:18" x14ac:dyDescent="0.3">
      <c r="A147" t="s">
        <v>424</v>
      </c>
      <c r="B147" s="4" t="s">
        <v>425</v>
      </c>
      <c r="C147" t="s">
        <v>32</v>
      </c>
      <c r="D147" t="s">
        <v>33</v>
      </c>
      <c r="E147" t="s">
        <v>52</v>
      </c>
      <c r="F147" t="s">
        <v>53</v>
      </c>
      <c r="G147" t="s">
        <v>54</v>
      </c>
      <c r="H147" t="s">
        <v>112</v>
      </c>
      <c r="I147" t="s">
        <v>36</v>
      </c>
      <c r="J147" t="s">
        <v>113</v>
      </c>
      <c r="K147" t="s">
        <v>114</v>
      </c>
      <c r="L147">
        <v>4</v>
      </c>
      <c r="M147">
        <v>600</v>
      </c>
      <c r="N147">
        <v>0</v>
      </c>
      <c r="O147">
        <v>2400</v>
      </c>
      <c r="P147">
        <v>646.70000000000005</v>
      </c>
      <c r="Q147">
        <v>369.72</v>
      </c>
      <c r="R147" t="s">
        <v>57</v>
      </c>
    </row>
    <row r="148" spans="1:18" x14ac:dyDescent="0.3">
      <c r="A148" t="s">
        <v>426</v>
      </c>
      <c r="B148" s="4" t="s">
        <v>418</v>
      </c>
      <c r="C148" t="s">
        <v>104</v>
      </c>
      <c r="D148" t="s">
        <v>105</v>
      </c>
      <c r="E148" t="s">
        <v>52</v>
      </c>
      <c r="F148" t="s">
        <v>53</v>
      </c>
      <c r="G148" t="s">
        <v>83</v>
      </c>
      <c r="H148" t="s">
        <v>251</v>
      </c>
      <c r="I148" t="s">
        <v>47</v>
      </c>
      <c r="J148" t="s">
        <v>48</v>
      </c>
      <c r="K148" t="s">
        <v>196</v>
      </c>
      <c r="L148">
        <v>2</v>
      </c>
      <c r="M148">
        <v>2500</v>
      </c>
      <c r="N148">
        <v>0.2</v>
      </c>
      <c r="O148">
        <v>4000</v>
      </c>
      <c r="P148">
        <v>338.1</v>
      </c>
      <c r="Q148">
        <v>177.91</v>
      </c>
      <c r="R148" t="s">
        <v>64</v>
      </c>
    </row>
    <row r="149" spans="1:18" x14ac:dyDescent="0.3">
      <c r="A149" t="s">
        <v>427</v>
      </c>
      <c r="B149" s="4" t="s">
        <v>428</v>
      </c>
      <c r="C149" t="s">
        <v>162</v>
      </c>
      <c r="D149" t="s">
        <v>163</v>
      </c>
      <c r="E149" t="s">
        <v>52</v>
      </c>
      <c r="F149" t="s">
        <v>106</v>
      </c>
      <c r="G149" t="s">
        <v>107</v>
      </c>
      <c r="H149" t="s">
        <v>139</v>
      </c>
      <c r="I149" t="s">
        <v>36</v>
      </c>
      <c r="J149" t="s">
        <v>113</v>
      </c>
      <c r="K149" t="s">
        <v>114</v>
      </c>
      <c r="L149">
        <v>4</v>
      </c>
      <c r="M149">
        <v>600</v>
      </c>
      <c r="N149">
        <v>0</v>
      </c>
      <c r="O149">
        <v>2400</v>
      </c>
      <c r="P149">
        <v>547.66999999999996</v>
      </c>
      <c r="Q149">
        <v>87.1</v>
      </c>
      <c r="R149" t="s">
        <v>57</v>
      </c>
    </row>
    <row r="150" spans="1:18" x14ac:dyDescent="0.3">
      <c r="A150" t="s">
        <v>429</v>
      </c>
      <c r="B150" s="4" t="s">
        <v>430</v>
      </c>
      <c r="C150" t="s">
        <v>117</v>
      </c>
      <c r="D150" t="s">
        <v>118</v>
      </c>
      <c r="E150" t="s">
        <v>52</v>
      </c>
      <c r="F150" t="s">
        <v>44</v>
      </c>
      <c r="G150" t="s">
        <v>192</v>
      </c>
      <c r="H150" t="s">
        <v>271</v>
      </c>
      <c r="I150" t="s">
        <v>36</v>
      </c>
      <c r="J150" t="s">
        <v>113</v>
      </c>
      <c r="K150" t="s">
        <v>262</v>
      </c>
      <c r="L150">
        <v>1</v>
      </c>
      <c r="M150">
        <v>2500</v>
      </c>
      <c r="N150">
        <v>0.2</v>
      </c>
      <c r="O150">
        <v>2000</v>
      </c>
      <c r="P150">
        <v>310.19</v>
      </c>
      <c r="Q150">
        <v>304.23</v>
      </c>
      <c r="R150" t="s">
        <v>64</v>
      </c>
    </row>
    <row r="151" spans="1:18" x14ac:dyDescent="0.3">
      <c r="A151" t="s">
        <v>431</v>
      </c>
      <c r="B151" s="4" t="s">
        <v>432</v>
      </c>
      <c r="C151" t="s">
        <v>60</v>
      </c>
      <c r="D151" t="s">
        <v>61</v>
      </c>
      <c r="E151" t="s">
        <v>52</v>
      </c>
      <c r="F151" t="s">
        <v>23</v>
      </c>
      <c r="G151" t="s">
        <v>34</v>
      </c>
      <c r="H151" t="s">
        <v>35</v>
      </c>
      <c r="I151" t="s">
        <v>26</v>
      </c>
      <c r="J151" t="s">
        <v>91</v>
      </c>
      <c r="K151" t="s">
        <v>153</v>
      </c>
      <c r="L151">
        <v>4</v>
      </c>
      <c r="M151">
        <v>800</v>
      </c>
      <c r="N151">
        <v>0</v>
      </c>
      <c r="O151">
        <v>3200</v>
      </c>
      <c r="P151">
        <v>404.54</v>
      </c>
      <c r="Q151">
        <v>358.42</v>
      </c>
      <c r="R151" t="s">
        <v>57</v>
      </c>
    </row>
    <row r="152" spans="1:18" x14ac:dyDescent="0.3">
      <c r="A152" t="s">
        <v>433</v>
      </c>
      <c r="B152" s="4" t="s">
        <v>432</v>
      </c>
      <c r="C152" t="s">
        <v>32</v>
      </c>
      <c r="D152" t="s">
        <v>33</v>
      </c>
      <c r="E152" t="s">
        <v>67</v>
      </c>
      <c r="F152" t="s">
        <v>44</v>
      </c>
      <c r="G152" t="s">
        <v>45</v>
      </c>
      <c r="H152" t="s">
        <v>124</v>
      </c>
      <c r="I152" t="s">
        <v>26</v>
      </c>
      <c r="J152" t="s">
        <v>27</v>
      </c>
      <c r="K152" t="s">
        <v>76</v>
      </c>
      <c r="L152">
        <v>5</v>
      </c>
      <c r="M152">
        <v>75000</v>
      </c>
      <c r="N152">
        <v>0</v>
      </c>
      <c r="O152">
        <v>375000</v>
      </c>
      <c r="P152">
        <v>54261.65</v>
      </c>
      <c r="Q152">
        <v>193.36</v>
      </c>
      <c r="R152" t="s">
        <v>64</v>
      </c>
    </row>
    <row r="153" spans="1:18" x14ac:dyDescent="0.3">
      <c r="A153" t="s">
        <v>434</v>
      </c>
      <c r="B153" s="4" t="s">
        <v>435</v>
      </c>
      <c r="C153" t="s">
        <v>143</v>
      </c>
      <c r="D153" t="s">
        <v>144</v>
      </c>
      <c r="E153" t="s">
        <v>67</v>
      </c>
      <c r="F153" t="s">
        <v>44</v>
      </c>
      <c r="G153" t="s">
        <v>192</v>
      </c>
      <c r="H153" t="s">
        <v>271</v>
      </c>
      <c r="I153" t="s">
        <v>26</v>
      </c>
      <c r="J153" t="s">
        <v>27</v>
      </c>
      <c r="K153" t="s">
        <v>76</v>
      </c>
      <c r="L153">
        <v>1</v>
      </c>
      <c r="M153">
        <v>75000</v>
      </c>
      <c r="N153">
        <v>0</v>
      </c>
      <c r="O153">
        <v>75000</v>
      </c>
      <c r="P153">
        <v>13206.77</v>
      </c>
      <c r="Q153">
        <v>450.39</v>
      </c>
      <c r="R153" t="s">
        <v>29</v>
      </c>
    </row>
    <row r="154" spans="1:18" x14ac:dyDescent="0.3">
      <c r="A154" t="s">
        <v>436</v>
      </c>
      <c r="B154" s="4" t="s">
        <v>437</v>
      </c>
      <c r="C154" t="s">
        <v>32</v>
      </c>
      <c r="D154" t="s">
        <v>33</v>
      </c>
      <c r="E154" t="s">
        <v>22</v>
      </c>
      <c r="F154" t="s">
        <v>53</v>
      </c>
      <c r="G154" t="s">
        <v>100</v>
      </c>
      <c r="H154" t="s">
        <v>101</v>
      </c>
      <c r="I154" t="s">
        <v>47</v>
      </c>
      <c r="J154" t="s">
        <v>119</v>
      </c>
      <c r="K154" t="s">
        <v>310</v>
      </c>
      <c r="L154">
        <v>1</v>
      </c>
      <c r="M154">
        <v>1500</v>
      </c>
      <c r="N154">
        <v>0</v>
      </c>
      <c r="O154">
        <v>1500</v>
      </c>
      <c r="P154">
        <v>362.81</v>
      </c>
      <c r="Q154">
        <v>145.87</v>
      </c>
      <c r="R154" t="s">
        <v>29</v>
      </c>
    </row>
    <row r="155" spans="1:18" x14ac:dyDescent="0.3">
      <c r="A155" t="s">
        <v>438</v>
      </c>
      <c r="B155" s="4" t="s">
        <v>413</v>
      </c>
      <c r="C155" t="s">
        <v>117</v>
      </c>
      <c r="D155" t="s">
        <v>118</v>
      </c>
      <c r="E155" t="s">
        <v>22</v>
      </c>
      <c r="F155" t="s">
        <v>106</v>
      </c>
      <c r="G155" t="s">
        <v>149</v>
      </c>
      <c r="H155" t="s">
        <v>150</v>
      </c>
      <c r="I155" t="s">
        <v>36</v>
      </c>
      <c r="J155" t="s">
        <v>140</v>
      </c>
      <c r="K155" t="s">
        <v>141</v>
      </c>
      <c r="L155">
        <v>1</v>
      </c>
      <c r="M155">
        <v>2200</v>
      </c>
      <c r="N155">
        <v>0</v>
      </c>
      <c r="O155">
        <v>2200</v>
      </c>
      <c r="P155">
        <v>539.27</v>
      </c>
      <c r="Q155">
        <v>477.28</v>
      </c>
      <c r="R155" t="s">
        <v>39</v>
      </c>
    </row>
    <row r="156" spans="1:18" x14ac:dyDescent="0.3">
      <c r="A156" t="s">
        <v>439</v>
      </c>
      <c r="B156" s="4" t="s">
        <v>440</v>
      </c>
      <c r="C156" t="s">
        <v>32</v>
      </c>
      <c r="D156" t="s">
        <v>33</v>
      </c>
      <c r="E156" t="s">
        <v>67</v>
      </c>
      <c r="F156" t="s">
        <v>23</v>
      </c>
      <c r="G156" t="s">
        <v>34</v>
      </c>
      <c r="H156" t="s">
        <v>35</v>
      </c>
      <c r="I156" t="s">
        <v>47</v>
      </c>
      <c r="J156" t="s">
        <v>48</v>
      </c>
      <c r="K156" t="s">
        <v>196</v>
      </c>
      <c r="L156">
        <v>3</v>
      </c>
      <c r="M156">
        <v>2500</v>
      </c>
      <c r="N156">
        <v>0</v>
      </c>
      <c r="O156">
        <v>7500</v>
      </c>
      <c r="P156">
        <v>1529.61</v>
      </c>
      <c r="Q156">
        <v>230.01</v>
      </c>
      <c r="R156" t="s">
        <v>57</v>
      </c>
    </row>
    <row r="157" spans="1:18" x14ac:dyDescent="0.3">
      <c r="A157" t="s">
        <v>441</v>
      </c>
      <c r="B157" s="4" t="s">
        <v>435</v>
      </c>
      <c r="C157" t="s">
        <v>20</v>
      </c>
      <c r="D157" t="s">
        <v>21</v>
      </c>
      <c r="E157" t="s">
        <v>67</v>
      </c>
      <c r="F157" t="s">
        <v>53</v>
      </c>
      <c r="G157" t="s">
        <v>54</v>
      </c>
      <c r="H157" t="s">
        <v>55</v>
      </c>
      <c r="I157" t="s">
        <v>47</v>
      </c>
      <c r="J157" t="s">
        <v>119</v>
      </c>
      <c r="K157" t="s">
        <v>173</v>
      </c>
      <c r="L157">
        <v>2</v>
      </c>
      <c r="M157">
        <v>1000</v>
      </c>
      <c r="N157">
        <v>0.1</v>
      </c>
      <c r="O157">
        <v>1800</v>
      </c>
      <c r="P157">
        <v>483.19</v>
      </c>
      <c r="Q157">
        <v>214.33</v>
      </c>
      <c r="R157" t="s">
        <v>57</v>
      </c>
    </row>
    <row r="158" spans="1:18" x14ac:dyDescent="0.3">
      <c r="A158" t="s">
        <v>442</v>
      </c>
      <c r="B158" s="4" t="s">
        <v>443</v>
      </c>
      <c r="C158" t="s">
        <v>143</v>
      </c>
      <c r="D158" t="s">
        <v>144</v>
      </c>
      <c r="E158" t="s">
        <v>52</v>
      </c>
      <c r="F158" t="s">
        <v>44</v>
      </c>
      <c r="G158" t="s">
        <v>216</v>
      </c>
      <c r="H158" t="s">
        <v>316</v>
      </c>
      <c r="I158" t="s">
        <v>36</v>
      </c>
      <c r="J158" t="s">
        <v>140</v>
      </c>
      <c r="K158" t="s">
        <v>337</v>
      </c>
      <c r="L158">
        <v>4</v>
      </c>
      <c r="M158">
        <v>5500</v>
      </c>
      <c r="N158">
        <v>0</v>
      </c>
      <c r="O158">
        <v>22000</v>
      </c>
      <c r="P158">
        <v>5274.39</v>
      </c>
      <c r="Q158">
        <v>82.7</v>
      </c>
      <c r="R158" t="s">
        <v>64</v>
      </c>
    </row>
    <row r="159" spans="1:18" x14ac:dyDescent="0.3">
      <c r="A159" t="s">
        <v>444</v>
      </c>
      <c r="B159" s="4" t="s">
        <v>445</v>
      </c>
      <c r="C159" t="s">
        <v>143</v>
      </c>
      <c r="D159" t="s">
        <v>144</v>
      </c>
      <c r="E159" t="s">
        <v>67</v>
      </c>
      <c r="F159" t="s">
        <v>23</v>
      </c>
      <c r="G159" t="s">
        <v>34</v>
      </c>
      <c r="H159" t="s">
        <v>62</v>
      </c>
      <c r="I159" t="s">
        <v>47</v>
      </c>
      <c r="J159" t="s">
        <v>85</v>
      </c>
      <c r="K159" t="s">
        <v>289</v>
      </c>
      <c r="L159">
        <v>4</v>
      </c>
      <c r="M159">
        <v>2200</v>
      </c>
      <c r="N159">
        <v>0.1</v>
      </c>
      <c r="O159">
        <v>7920</v>
      </c>
      <c r="P159">
        <v>1601.21</v>
      </c>
      <c r="Q159">
        <v>396.9</v>
      </c>
      <c r="R159" t="s">
        <v>57</v>
      </c>
    </row>
    <row r="160" spans="1:18" x14ac:dyDescent="0.3">
      <c r="A160" t="s">
        <v>446</v>
      </c>
      <c r="B160" s="4" t="s">
        <v>447</v>
      </c>
      <c r="C160" t="s">
        <v>78</v>
      </c>
      <c r="D160" t="s">
        <v>79</v>
      </c>
      <c r="E160" t="s">
        <v>52</v>
      </c>
      <c r="F160" t="s">
        <v>23</v>
      </c>
      <c r="G160" t="s">
        <v>74</v>
      </c>
      <c r="H160" t="s">
        <v>152</v>
      </c>
      <c r="I160" t="s">
        <v>47</v>
      </c>
      <c r="J160" t="s">
        <v>85</v>
      </c>
      <c r="K160" t="s">
        <v>284</v>
      </c>
      <c r="L160">
        <v>1</v>
      </c>
      <c r="M160">
        <v>900</v>
      </c>
      <c r="N160">
        <v>0</v>
      </c>
      <c r="O160">
        <v>900</v>
      </c>
      <c r="P160">
        <v>81.69</v>
      </c>
      <c r="Q160">
        <v>53.9</v>
      </c>
      <c r="R160" t="s">
        <v>57</v>
      </c>
    </row>
    <row r="161" spans="1:18" x14ac:dyDescent="0.3">
      <c r="A161" t="s">
        <v>448</v>
      </c>
      <c r="B161" s="4" t="s">
        <v>449</v>
      </c>
      <c r="C161" t="s">
        <v>147</v>
      </c>
      <c r="D161" t="s">
        <v>148</v>
      </c>
      <c r="E161" t="s">
        <v>22</v>
      </c>
      <c r="F161" t="s">
        <v>44</v>
      </c>
      <c r="G161" t="s">
        <v>192</v>
      </c>
      <c r="H161" t="s">
        <v>201</v>
      </c>
      <c r="I161" t="s">
        <v>47</v>
      </c>
      <c r="J161" t="s">
        <v>85</v>
      </c>
      <c r="K161" t="s">
        <v>102</v>
      </c>
      <c r="L161">
        <v>2</v>
      </c>
      <c r="M161">
        <v>3200</v>
      </c>
      <c r="N161">
        <v>0.15</v>
      </c>
      <c r="O161">
        <v>5440</v>
      </c>
      <c r="P161">
        <v>1361.01</v>
      </c>
      <c r="Q161">
        <v>183.12</v>
      </c>
      <c r="R161" t="s">
        <v>57</v>
      </c>
    </row>
    <row r="162" spans="1:18" x14ac:dyDescent="0.3">
      <c r="A162" t="s">
        <v>450</v>
      </c>
      <c r="B162" s="4" t="s">
        <v>451</v>
      </c>
      <c r="C162" t="s">
        <v>122</v>
      </c>
      <c r="D162" t="s">
        <v>123</v>
      </c>
      <c r="E162" t="s">
        <v>22</v>
      </c>
      <c r="F162" t="s">
        <v>44</v>
      </c>
      <c r="G162" t="s">
        <v>45</v>
      </c>
      <c r="H162" t="s">
        <v>96</v>
      </c>
      <c r="I162" t="s">
        <v>36</v>
      </c>
      <c r="J162" t="s">
        <v>113</v>
      </c>
      <c r="K162" t="s">
        <v>159</v>
      </c>
      <c r="L162">
        <v>2</v>
      </c>
      <c r="M162">
        <v>1500</v>
      </c>
      <c r="N162">
        <v>0.2</v>
      </c>
      <c r="O162">
        <v>2400</v>
      </c>
      <c r="P162">
        <v>432.92</v>
      </c>
      <c r="Q162">
        <v>73.28</v>
      </c>
      <c r="R162" t="s">
        <v>57</v>
      </c>
    </row>
    <row r="163" spans="1:18" x14ac:dyDescent="0.3">
      <c r="A163" t="s">
        <v>452</v>
      </c>
      <c r="B163" s="4" t="s">
        <v>453</v>
      </c>
      <c r="C163" t="s">
        <v>104</v>
      </c>
      <c r="D163" t="s">
        <v>105</v>
      </c>
      <c r="E163" t="s">
        <v>22</v>
      </c>
      <c r="F163" t="s">
        <v>44</v>
      </c>
      <c r="G163" t="s">
        <v>216</v>
      </c>
      <c r="H163" t="s">
        <v>266</v>
      </c>
      <c r="I163" t="s">
        <v>26</v>
      </c>
      <c r="J163" t="s">
        <v>69</v>
      </c>
      <c r="K163" t="s">
        <v>145</v>
      </c>
      <c r="L163">
        <v>5</v>
      </c>
      <c r="M163">
        <v>55000</v>
      </c>
      <c r="N163">
        <v>0</v>
      </c>
      <c r="O163">
        <v>275000</v>
      </c>
      <c r="P163">
        <v>40830</v>
      </c>
      <c r="Q163">
        <v>224.25</v>
      </c>
      <c r="R163" t="s">
        <v>29</v>
      </c>
    </row>
    <row r="164" spans="1:18" x14ac:dyDescent="0.3">
      <c r="A164" t="s">
        <v>454</v>
      </c>
      <c r="B164" s="4" t="s">
        <v>453</v>
      </c>
      <c r="C164" t="s">
        <v>94</v>
      </c>
      <c r="D164" t="s">
        <v>95</v>
      </c>
      <c r="E164" t="s">
        <v>52</v>
      </c>
      <c r="F164" t="s">
        <v>44</v>
      </c>
      <c r="G164" t="s">
        <v>45</v>
      </c>
      <c r="H164" t="s">
        <v>124</v>
      </c>
      <c r="I164" t="s">
        <v>47</v>
      </c>
      <c r="J164" t="s">
        <v>48</v>
      </c>
      <c r="K164" t="s">
        <v>196</v>
      </c>
      <c r="L164">
        <v>3</v>
      </c>
      <c r="M164">
        <v>2500</v>
      </c>
      <c r="N164">
        <v>0</v>
      </c>
      <c r="O164">
        <v>7500</v>
      </c>
      <c r="P164">
        <v>830</v>
      </c>
      <c r="Q164">
        <v>450.02</v>
      </c>
      <c r="R164" t="s">
        <v>64</v>
      </c>
    </row>
    <row r="165" spans="1:18" x14ac:dyDescent="0.3">
      <c r="A165" t="s">
        <v>455</v>
      </c>
      <c r="B165" s="4" t="s">
        <v>456</v>
      </c>
      <c r="C165" t="s">
        <v>171</v>
      </c>
      <c r="D165" t="s">
        <v>172</v>
      </c>
      <c r="E165" t="s">
        <v>52</v>
      </c>
      <c r="F165" t="s">
        <v>53</v>
      </c>
      <c r="G165" t="s">
        <v>100</v>
      </c>
      <c r="H165" t="s">
        <v>213</v>
      </c>
      <c r="I165" t="s">
        <v>36</v>
      </c>
      <c r="J165" t="s">
        <v>113</v>
      </c>
      <c r="K165" t="s">
        <v>159</v>
      </c>
      <c r="L165">
        <v>1</v>
      </c>
      <c r="M165">
        <v>1500</v>
      </c>
      <c r="N165">
        <v>0.1</v>
      </c>
      <c r="O165">
        <v>1350</v>
      </c>
      <c r="P165">
        <v>329.12</v>
      </c>
      <c r="Q165">
        <v>300.93</v>
      </c>
      <c r="R165" t="s">
        <v>57</v>
      </c>
    </row>
    <row r="166" spans="1:18" x14ac:dyDescent="0.3">
      <c r="A166" t="s">
        <v>457</v>
      </c>
      <c r="B166" s="4" t="s">
        <v>458</v>
      </c>
      <c r="C166" t="s">
        <v>32</v>
      </c>
      <c r="D166" t="s">
        <v>33</v>
      </c>
      <c r="E166" t="s">
        <v>67</v>
      </c>
      <c r="F166" t="s">
        <v>23</v>
      </c>
      <c r="G166" t="s">
        <v>24</v>
      </c>
      <c r="H166" t="s">
        <v>25</v>
      </c>
      <c r="I166" t="s">
        <v>36</v>
      </c>
      <c r="J166" t="s">
        <v>140</v>
      </c>
      <c r="K166" t="s">
        <v>404</v>
      </c>
      <c r="L166">
        <v>3</v>
      </c>
      <c r="M166">
        <v>3200</v>
      </c>
      <c r="N166">
        <v>0.2</v>
      </c>
      <c r="O166">
        <v>7680</v>
      </c>
      <c r="P166">
        <v>1939.15</v>
      </c>
      <c r="Q166">
        <v>378.25</v>
      </c>
      <c r="R166" t="s">
        <v>64</v>
      </c>
    </row>
    <row r="167" spans="1:18" x14ac:dyDescent="0.3">
      <c r="A167" t="s">
        <v>459</v>
      </c>
      <c r="B167" s="4" t="s">
        <v>449</v>
      </c>
      <c r="C167" t="s">
        <v>78</v>
      </c>
      <c r="D167" t="s">
        <v>79</v>
      </c>
      <c r="E167" t="s">
        <v>67</v>
      </c>
      <c r="F167" t="s">
        <v>106</v>
      </c>
      <c r="G167" t="s">
        <v>107</v>
      </c>
      <c r="H167" t="s">
        <v>139</v>
      </c>
      <c r="I167" t="s">
        <v>26</v>
      </c>
      <c r="J167" t="s">
        <v>27</v>
      </c>
      <c r="K167" t="s">
        <v>76</v>
      </c>
      <c r="L167">
        <v>2</v>
      </c>
      <c r="M167">
        <v>75000</v>
      </c>
      <c r="N167">
        <v>0.1</v>
      </c>
      <c r="O167">
        <v>135000</v>
      </c>
      <c r="P167">
        <v>29057.67</v>
      </c>
      <c r="Q167">
        <v>205.12</v>
      </c>
      <c r="R167" t="s">
        <v>39</v>
      </c>
    </row>
    <row r="168" spans="1:18" x14ac:dyDescent="0.3">
      <c r="A168" t="s">
        <v>460</v>
      </c>
      <c r="B168" s="4" t="s">
        <v>461</v>
      </c>
      <c r="C168" t="s">
        <v>20</v>
      </c>
      <c r="D168" t="s">
        <v>21</v>
      </c>
      <c r="E168" t="s">
        <v>67</v>
      </c>
      <c r="F168" t="s">
        <v>53</v>
      </c>
      <c r="G168" t="s">
        <v>83</v>
      </c>
      <c r="H168" t="s">
        <v>251</v>
      </c>
      <c r="I168" t="s">
        <v>47</v>
      </c>
      <c r="J168" t="s">
        <v>85</v>
      </c>
      <c r="K168" t="s">
        <v>274</v>
      </c>
      <c r="L168">
        <v>3</v>
      </c>
      <c r="M168">
        <v>2400</v>
      </c>
      <c r="N168">
        <v>0.05</v>
      </c>
      <c r="O168">
        <v>6840</v>
      </c>
      <c r="P168">
        <v>1900.78</v>
      </c>
      <c r="Q168">
        <v>295.97000000000003</v>
      </c>
      <c r="R168" t="s">
        <v>64</v>
      </c>
    </row>
    <row r="169" spans="1:18" x14ac:dyDescent="0.3">
      <c r="A169" t="s">
        <v>462</v>
      </c>
      <c r="B169" s="4" t="s">
        <v>463</v>
      </c>
      <c r="C169" t="s">
        <v>20</v>
      </c>
      <c r="D169" t="s">
        <v>21</v>
      </c>
      <c r="E169" t="s">
        <v>52</v>
      </c>
      <c r="F169" t="s">
        <v>106</v>
      </c>
      <c r="G169" t="s">
        <v>107</v>
      </c>
      <c r="H169" t="s">
        <v>108</v>
      </c>
      <c r="I169" t="s">
        <v>26</v>
      </c>
      <c r="J169" t="s">
        <v>69</v>
      </c>
      <c r="K169" t="s">
        <v>70</v>
      </c>
      <c r="L169">
        <v>4</v>
      </c>
      <c r="M169">
        <v>45000</v>
      </c>
      <c r="N169">
        <v>0.2</v>
      </c>
      <c r="O169">
        <v>144000</v>
      </c>
      <c r="P169">
        <v>39370.300000000003</v>
      </c>
      <c r="Q169">
        <v>53.89</v>
      </c>
      <c r="R169" t="s">
        <v>57</v>
      </c>
    </row>
    <row r="170" spans="1:18" x14ac:dyDescent="0.3">
      <c r="A170" t="s">
        <v>464</v>
      </c>
      <c r="B170" s="4" t="s">
        <v>465</v>
      </c>
      <c r="C170" t="s">
        <v>171</v>
      </c>
      <c r="D170" t="s">
        <v>172</v>
      </c>
      <c r="E170" t="s">
        <v>67</v>
      </c>
      <c r="F170" t="s">
        <v>23</v>
      </c>
      <c r="G170" t="s">
        <v>74</v>
      </c>
      <c r="H170" t="s">
        <v>75</v>
      </c>
      <c r="I170" t="s">
        <v>36</v>
      </c>
      <c r="J170" t="s">
        <v>140</v>
      </c>
      <c r="K170" t="s">
        <v>168</v>
      </c>
      <c r="L170">
        <v>4</v>
      </c>
      <c r="M170">
        <v>1800</v>
      </c>
      <c r="N170">
        <v>0.05</v>
      </c>
      <c r="O170">
        <v>6840</v>
      </c>
      <c r="P170">
        <v>1855.12</v>
      </c>
      <c r="Q170">
        <v>466.86</v>
      </c>
      <c r="R170" t="s">
        <v>64</v>
      </c>
    </row>
    <row r="171" spans="1:18" x14ac:dyDescent="0.3">
      <c r="A171" t="s">
        <v>466</v>
      </c>
      <c r="B171" s="4" t="s">
        <v>467</v>
      </c>
      <c r="C171" t="s">
        <v>20</v>
      </c>
      <c r="D171" t="s">
        <v>21</v>
      </c>
      <c r="E171" t="s">
        <v>52</v>
      </c>
      <c r="F171" t="s">
        <v>53</v>
      </c>
      <c r="G171" t="s">
        <v>100</v>
      </c>
      <c r="H171" t="s">
        <v>213</v>
      </c>
      <c r="I171" t="s">
        <v>36</v>
      </c>
      <c r="J171" t="s">
        <v>113</v>
      </c>
      <c r="K171" t="s">
        <v>114</v>
      </c>
      <c r="L171">
        <v>4</v>
      </c>
      <c r="M171">
        <v>600</v>
      </c>
      <c r="N171">
        <v>0.2</v>
      </c>
      <c r="O171">
        <v>1920</v>
      </c>
      <c r="P171">
        <v>198.57</v>
      </c>
      <c r="Q171">
        <v>127.88</v>
      </c>
      <c r="R171" t="s">
        <v>29</v>
      </c>
    </row>
    <row r="172" spans="1:18" x14ac:dyDescent="0.3">
      <c r="A172" t="s">
        <v>468</v>
      </c>
      <c r="B172" s="4" t="s">
        <v>469</v>
      </c>
      <c r="C172" t="s">
        <v>60</v>
      </c>
      <c r="D172" t="s">
        <v>61</v>
      </c>
      <c r="E172" t="s">
        <v>22</v>
      </c>
      <c r="F172" t="s">
        <v>44</v>
      </c>
      <c r="G172" t="s">
        <v>45</v>
      </c>
      <c r="H172" t="s">
        <v>96</v>
      </c>
      <c r="I172" t="s">
        <v>36</v>
      </c>
      <c r="J172" t="s">
        <v>113</v>
      </c>
      <c r="K172" t="s">
        <v>220</v>
      </c>
      <c r="L172">
        <v>4</v>
      </c>
      <c r="M172">
        <v>1800</v>
      </c>
      <c r="N172">
        <v>0.1</v>
      </c>
      <c r="O172">
        <v>6480</v>
      </c>
      <c r="P172">
        <v>1262.5</v>
      </c>
      <c r="Q172">
        <v>499.01</v>
      </c>
      <c r="R172" t="s">
        <v>39</v>
      </c>
    </row>
    <row r="173" spans="1:18" x14ac:dyDescent="0.3">
      <c r="A173" t="s">
        <v>470</v>
      </c>
      <c r="B173" s="4" t="s">
        <v>463</v>
      </c>
      <c r="C173" t="s">
        <v>178</v>
      </c>
      <c r="D173" t="s">
        <v>179</v>
      </c>
      <c r="E173" t="s">
        <v>67</v>
      </c>
      <c r="F173" t="s">
        <v>44</v>
      </c>
      <c r="G173" t="s">
        <v>216</v>
      </c>
      <c r="H173" t="s">
        <v>316</v>
      </c>
      <c r="I173" t="s">
        <v>26</v>
      </c>
      <c r="J173" t="s">
        <v>69</v>
      </c>
      <c r="K173" t="s">
        <v>70</v>
      </c>
      <c r="L173">
        <v>3</v>
      </c>
      <c r="M173">
        <v>45000</v>
      </c>
      <c r="N173">
        <v>0</v>
      </c>
      <c r="O173">
        <v>135000</v>
      </c>
      <c r="P173">
        <v>11408.48</v>
      </c>
      <c r="Q173">
        <v>343.27</v>
      </c>
      <c r="R173" t="s">
        <v>57</v>
      </c>
    </row>
    <row r="174" spans="1:18" x14ac:dyDescent="0.3">
      <c r="A174" t="s">
        <v>471</v>
      </c>
      <c r="B174" s="4" t="s">
        <v>472</v>
      </c>
      <c r="C174" t="s">
        <v>72</v>
      </c>
      <c r="D174" t="s">
        <v>73</v>
      </c>
      <c r="E174" t="s">
        <v>67</v>
      </c>
      <c r="F174" t="s">
        <v>23</v>
      </c>
      <c r="G174" t="s">
        <v>74</v>
      </c>
      <c r="H174" t="s">
        <v>75</v>
      </c>
      <c r="I174" t="s">
        <v>47</v>
      </c>
      <c r="J174" t="s">
        <v>85</v>
      </c>
      <c r="K174" t="s">
        <v>102</v>
      </c>
      <c r="L174">
        <v>5</v>
      </c>
      <c r="M174">
        <v>3200</v>
      </c>
      <c r="N174">
        <v>0</v>
      </c>
      <c r="O174">
        <v>16000</v>
      </c>
      <c r="P174">
        <v>3238.38</v>
      </c>
      <c r="Q174">
        <v>83.21</v>
      </c>
      <c r="R174" t="s">
        <v>29</v>
      </c>
    </row>
    <row r="175" spans="1:18" x14ac:dyDescent="0.3">
      <c r="A175" t="s">
        <v>473</v>
      </c>
      <c r="B175" s="4" t="s">
        <v>474</v>
      </c>
      <c r="C175" t="s">
        <v>94</v>
      </c>
      <c r="D175" t="s">
        <v>95</v>
      </c>
      <c r="E175" t="s">
        <v>52</v>
      </c>
      <c r="F175" t="s">
        <v>44</v>
      </c>
      <c r="G175" t="s">
        <v>45</v>
      </c>
      <c r="H175" t="s">
        <v>46</v>
      </c>
      <c r="I175" t="s">
        <v>26</v>
      </c>
      <c r="J175" t="s">
        <v>27</v>
      </c>
      <c r="K175" t="s">
        <v>28</v>
      </c>
      <c r="L175">
        <v>3</v>
      </c>
      <c r="M175">
        <v>40000</v>
      </c>
      <c r="N175">
        <v>0</v>
      </c>
      <c r="O175">
        <v>120000</v>
      </c>
      <c r="P175">
        <v>10048.049999999999</v>
      </c>
      <c r="Q175">
        <v>129.86000000000001</v>
      </c>
      <c r="R175" t="s">
        <v>29</v>
      </c>
    </row>
    <row r="176" spans="1:18" x14ac:dyDescent="0.3">
      <c r="A176" t="s">
        <v>475</v>
      </c>
      <c r="B176" s="4" t="s">
        <v>463</v>
      </c>
      <c r="C176" t="s">
        <v>104</v>
      </c>
      <c r="D176" t="s">
        <v>105</v>
      </c>
      <c r="E176" t="s">
        <v>52</v>
      </c>
      <c r="F176" t="s">
        <v>44</v>
      </c>
      <c r="G176" t="s">
        <v>45</v>
      </c>
      <c r="H176" t="s">
        <v>198</v>
      </c>
      <c r="I176" t="s">
        <v>36</v>
      </c>
      <c r="J176" t="s">
        <v>37</v>
      </c>
      <c r="K176" t="s">
        <v>125</v>
      </c>
      <c r="L176">
        <v>4</v>
      </c>
      <c r="M176">
        <v>8500</v>
      </c>
      <c r="N176">
        <v>0.05</v>
      </c>
      <c r="O176">
        <v>32300</v>
      </c>
      <c r="P176">
        <v>7857.74</v>
      </c>
      <c r="Q176">
        <v>131.93</v>
      </c>
      <c r="R176" t="s">
        <v>39</v>
      </c>
    </row>
    <row r="177" spans="1:18" x14ac:dyDescent="0.3">
      <c r="A177" t="s">
        <v>476</v>
      </c>
      <c r="B177" s="4" t="s">
        <v>465</v>
      </c>
      <c r="C177" t="s">
        <v>166</v>
      </c>
      <c r="D177" t="s">
        <v>167</v>
      </c>
      <c r="E177" t="s">
        <v>52</v>
      </c>
      <c r="F177" t="s">
        <v>53</v>
      </c>
      <c r="G177" t="s">
        <v>100</v>
      </c>
      <c r="H177" t="s">
        <v>213</v>
      </c>
      <c r="I177" t="s">
        <v>36</v>
      </c>
      <c r="J177" t="s">
        <v>140</v>
      </c>
      <c r="K177" t="s">
        <v>287</v>
      </c>
      <c r="L177">
        <v>5</v>
      </c>
      <c r="M177">
        <v>4000</v>
      </c>
      <c r="N177">
        <v>0.2</v>
      </c>
      <c r="O177">
        <v>16000</v>
      </c>
      <c r="P177">
        <v>3911.82</v>
      </c>
      <c r="Q177">
        <v>483.66</v>
      </c>
      <c r="R177" t="s">
        <v>29</v>
      </c>
    </row>
    <row r="178" spans="1:18" x14ac:dyDescent="0.3">
      <c r="A178" t="s">
        <v>477</v>
      </c>
      <c r="B178" s="4" t="s">
        <v>458</v>
      </c>
      <c r="C178" t="s">
        <v>32</v>
      </c>
      <c r="D178" t="s">
        <v>33</v>
      </c>
      <c r="E178" t="s">
        <v>52</v>
      </c>
      <c r="F178" t="s">
        <v>44</v>
      </c>
      <c r="G178" t="s">
        <v>192</v>
      </c>
      <c r="H178" t="s">
        <v>193</v>
      </c>
      <c r="I178" t="s">
        <v>36</v>
      </c>
      <c r="J178" t="s">
        <v>113</v>
      </c>
      <c r="K178" t="s">
        <v>159</v>
      </c>
      <c r="L178">
        <v>2</v>
      </c>
      <c r="M178">
        <v>1500</v>
      </c>
      <c r="N178">
        <v>0.1</v>
      </c>
      <c r="O178">
        <v>2700</v>
      </c>
      <c r="P178">
        <v>542.39</v>
      </c>
      <c r="Q178">
        <v>208.92</v>
      </c>
      <c r="R178" t="s">
        <v>29</v>
      </c>
    </row>
    <row r="179" spans="1:18" x14ac:dyDescent="0.3">
      <c r="A179" t="s">
        <v>478</v>
      </c>
      <c r="B179" s="4" t="s">
        <v>461</v>
      </c>
      <c r="C179" t="s">
        <v>122</v>
      </c>
      <c r="D179" t="s">
        <v>123</v>
      </c>
      <c r="E179" t="s">
        <v>22</v>
      </c>
      <c r="F179" t="s">
        <v>23</v>
      </c>
      <c r="G179" t="s">
        <v>34</v>
      </c>
      <c r="H179" t="s">
        <v>239</v>
      </c>
      <c r="I179" t="s">
        <v>36</v>
      </c>
      <c r="J179" t="s">
        <v>140</v>
      </c>
      <c r="K179" t="s">
        <v>141</v>
      </c>
      <c r="L179">
        <v>3</v>
      </c>
      <c r="M179">
        <v>2200</v>
      </c>
      <c r="N179">
        <v>0</v>
      </c>
      <c r="O179">
        <v>6600</v>
      </c>
      <c r="P179">
        <v>1766.6</v>
      </c>
      <c r="Q179">
        <v>161.93</v>
      </c>
      <c r="R179" t="s">
        <v>29</v>
      </c>
    </row>
    <row r="180" spans="1:18" x14ac:dyDescent="0.3">
      <c r="A180" t="s">
        <v>479</v>
      </c>
      <c r="B180" s="4" t="s">
        <v>480</v>
      </c>
      <c r="C180" t="s">
        <v>60</v>
      </c>
      <c r="D180" t="s">
        <v>61</v>
      </c>
      <c r="E180" t="s">
        <v>22</v>
      </c>
      <c r="F180" t="s">
        <v>23</v>
      </c>
      <c r="G180" t="s">
        <v>34</v>
      </c>
      <c r="H180" t="s">
        <v>239</v>
      </c>
      <c r="I180" t="s">
        <v>26</v>
      </c>
      <c r="J180" t="s">
        <v>69</v>
      </c>
      <c r="K180" t="s">
        <v>131</v>
      </c>
      <c r="L180">
        <v>5</v>
      </c>
      <c r="M180">
        <v>115000</v>
      </c>
      <c r="N180">
        <v>0.2</v>
      </c>
      <c r="O180">
        <v>460000</v>
      </c>
      <c r="P180">
        <v>60571.18</v>
      </c>
      <c r="Q180">
        <v>335.56</v>
      </c>
      <c r="R180" t="s">
        <v>57</v>
      </c>
    </row>
    <row r="181" spans="1:18" x14ac:dyDescent="0.3">
      <c r="A181" t="s">
        <v>481</v>
      </c>
      <c r="B181" s="4" t="s">
        <v>465</v>
      </c>
      <c r="C181" t="s">
        <v>166</v>
      </c>
      <c r="D181" t="s">
        <v>167</v>
      </c>
      <c r="E181" t="s">
        <v>52</v>
      </c>
      <c r="F181" t="s">
        <v>23</v>
      </c>
      <c r="G181" t="s">
        <v>24</v>
      </c>
      <c r="H181" t="s">
        <v>68</v>
      </c>
      <c r="I181" t="s">
        <v>36</v>
      </c>
      <c r="J181" t="s">
        <v>37</v>
      </c>
      <c r="K181" t="s">
        <v>38</v>
      </c>
      <c r="L181">
        <v>3</v>
      </c>
      <c r="M181">
        <v>6000</v>
      </c>
      <c r="N181">
        <v>0.15</v>
      </c>
      <c r="O181">
        <v>15300</v>
      </c>
      <c r="P181">
        <v>2150.38</v>
      </c>
      <c r="Q181">
        <v>328.95</v>
      </c>
      <c r="R181" t="s">
        <v>39</v>
      </c>
    </row>
    <row r="182" spans="1:18" x14ac:dyDescent="0.3">
      <c r="A182" t="s">
        <v>482</v>
      </c>
      <c r="B182" s="4" t="s">
        <v>465</v>
      </c>
      <c r="C182" t="s">
        <v>78</v>
      </c>
      <c r="D182" t="s">
        <v>79</v>
      </c>
      <c r="E182" t="s">
        <v>67</v>
      </c>
      <c r="F182" t="s">
        <v>106</v>
      </c>
      <c r="G182" t="s">
        <v>306</v>
      </c>
      <c r="H182" t="s">
        <v>307</v>
      </c>
      <c r="I182" t="s">
        <v>36</v>
      </c>
      <c r="J182" t="s">
        <v>140</v>
      </c>
      <c r="K182" t="s">
        <v>337</v>
      </c>
      <c r="L182">
        <v>5</v>
      </c>
      <c r="M182">
        <v>5500</v>
      </c>
      <c r="N182">
        <v>0</v>
      </c>
      <c r="O182">
        <v>27500</v>
      </c>
      <c r="P182">
        <v>6959.98</v>
      </c>
      <c r="Q182">
        <v>171.57</v>
      </c>
      <c r="R182" t="s">
        <v>29</v>
      </c>
    </row>
    <row r="183" spans="1:18" x14ac:dyDescent="0.3">
      <c r="A183" t="s">
        <v>483</v>
      </c>
      <c r="B183" s="4" t="s">
        <v>480</v>
      </c>
      <c r="C183" t="s">
        <v>166</v>
      </c>
      <c r="D183" t="s">
        <v>167</v>
      </c>
      <c r="E183" t="s">
        <v>22</v>
      </c>
      <c r="F183" t="s">
        <v>53</v>
      </c>
      <c r="G183" t="s">
        <v>100</v>
      </c>
      <c r="H183" t="s">
        <v>101</v>
      </c>
      <c r="I183" t="s">
        <v>36</v>
      </c>
      <c r="J183" t="s">
        <v>37</v>
      </c>
      <c r="K183" t="s">
        <v>38</v>
      </c>
      <c r="L183">
        <v>4</v>
      </c>
      <c r="M183">
        <v>6000</v>
      </c>
      <c r="N183">
        <v>0</v>
      </c>
      <c r="O183">
        <v>24000</v>
      </c>
      <c r="P183">
        <v>5426.61</v>
      </c>
      <c r="Q183">
        <v>295.77</v>
      </c>
      <c r="R183" t="s">
        <v>64</v>
      </c>
    </row>
    <row r="184" spans="1:18" x14ac:dyDescent="0.3">
      <c r="A184" t="s">
        <v>484</v>
      </c>
      <c r="B184" s="4" t="s">
        <v>485</v>
      </c>
      <c r="C184" t="s">
        <v>171</v>
      </c>
      <c r="D184" t="s">
        <v>172</v>
      </c>
      <c r="E184" t="s">
        <v>22</v>
      </c>
      <c r="F184" t="s">
        <v>53</v>
      </c>
      <c r="G184" t="s">
        <v>54</v>
      </c>
      <c r="H184" t="s">
        <v>55</v>
      </c>
      <c r="I184" t="s">
        <v>36</v>
      </c>
      <c r="J184" t="s">
        <v>37</v>
      </c>
      <c r="K184" t="s">
        <v>125</v>
      </c>
      <c r="L184">
        <v>5</v>
      </c>
      <c r="M184">
        <v>8500</v>
      </c>
      <c r="N184">
        <v>0</v>
      </c>
      <c r="O184">
        <v>42500</v>
      </c>
      <c r="P184">
        <v>3801.02</v>
      </c>
      <c r="Q184">
        <v>53.56</v>
      </c>
      <c r="R184" t="s">
        <v>39</v>
      </c>
    </row>
    <row r="185" spans="1:18" x14ac:dyDescent="0.3">
      <c r="A185" t="s">
        <v>486</v>
      </c>
      <c r="B185" s="4" t="s">
        <v>487</v>
      </c>
      <c r="C185" t="s">
        <v>60</v>
      </c>
      <c r="D185" t="s">
        <v>61</v>
      </c>
      <c r="E185" t="s">
        <v>67</v>
      </c>
      <c r="F185" t="s">
        <v>23</v>
      </c>
      <c r="G185" t="s">
        <v>34</v>
      </c>
      <c r="H185" t="s">
        <v>62</v>
      </c>
      <c r="I185" t="s">
        <v>47</v>
      </c>
      <c r="J185" t="s">
        <v>119</v>
      </c>
      <c r="K185" t="s">
        <v>208</v>
      </c>
      <c r="L185">
        <v>1</v>
      </c>
      <c r="M185">
        <v>600</v>
      </c>
      <c r="N185">
        <v>0</v>
      </c>
      <c r="O185">
        <v>600</v>
      </c>
      <c r="P185">
        <v>60.64</v>
      </c>
      <c r="Q185">
        <v>250.25</v>
      </c>
      <c r="R185" t="s">
        <v>64</v>
      </c>
    </row>
    <row r="186" spans="1:18" x14ac:dyDescent="0.3">
      <c r="A186" t="s">
        <v>488</v>
      </c>
      <c r="B186" s="4" t="s">
        <v>489</v>
      </c>
      <c r="C186" t="s">
        <v>242</v>
      </c>
      <c r="D186" t="s">
        <v>243</v>
      </c>
      <c r="E186" t="s">
        <v>67</v>
      </c>
      <c r="F186" t="s">
        <v>106</v>
      </c>
      <c r="G186" t="s">
        <v>306</v>
      </c>
      <c r="H186" t="s">
        <v>366</v>
      </c>
      <c r="I186" t="s">
        <v>36</v>
      </c>
      <c r="J186" t="s">
        <v>113</v>
      </c>
      <c r="K186" t="s">
        <v>262</v>
      </c>
      <c r="L186">
        <v>4</v>
      </c>
      <c r="M186">
        <v>2500</v>
      </c>
      <c r="N186">
        <v>0</v>
      </c>
      <c r="O186">
        <v>10000</v>
      </c>
      <c r="P186">
        <v>2517.7399999999998</v>
      </c>
      <c r="Q186">
        <v>77.260000000000005</v>
      </c>
      <c r="R186" t="s">
        <v>64</v>
      </c>
    </row>
    <row r="187" spans="1:18" x14ac:dyDescent="0.3">
      <c r="A187" t="s">
        <v>490</v>
      </c>
      <c r="B187" s="4" t="s">
        <v>449</v>
      </c>
      <c r="C187" t="s">
        <v>32</v>
      </c>
      <c r="D187" t="s">
        <v>33</v>
      </c>
      <c r="E187" t="s">
        <v>22</v>
      </c>
      <c r="F187" t="s">
        <v>44</v>
      </c>
      <c r="G187" t="s">
        <v>216</v>
      </c>
      <c r="H187" t="s">
        <v>217</v>
      </c>
      <c r="I187" t="s">
        <v>36</v>
      </c>
      <c r="J187" t="s">
        <v>113</v>
      </c>
      <c r="K187" t="s">
        <v>220</v>
      </c>
      <c r="L187">
        <v>5</v>
      </c>
      <c r="M187">
        <v>1800</v>
      </c>
      <c r="N187">
        <v>0</v>
      </c>
      <c r="O187">
        <v>9000</v>
      </c>
      <c r="P187">
        <v>1086.24</v>
      </c>
      <c r="Q187">
        <v>54.31</v>
      </c>
      <c r="R187" t="s">
        <v>39</v>
      </c>
    </row>
    <row r="188" spans="1:18" x14ac:dyDescent="0.3">
      <c r="A188" t="s">
        <v>491</v>
      </c>
      <c r="B188" s="4" t="s">
        <v>492</v>
      </c>
      <c r="C188" t="s">
        <v>32</v>
      </c>
      <c r="D188" t="s">
        <v>33</v>
      </c>
      <c r="E188" t="s">
        <v>22</v>
      </c>
      <c r="F188" t="s">
        <v>44</v>
      </c>
      <c r="G188" t="s">
        <v>216</v>
      </c>
      <c r="H188" t="s">
        <v>316</v>
      </c>
      <c r="I188" t="s">
        <v>47</v>
      </c>
      <c r="J188" t="s">
        <v>85</v>
      </c>
      <c r="K188" t="s">
        <v>86</v>
      </c>
      <c r="L188">
        <v>4</v>
      </c>
      <c r="M188">
        <v>3500</v>
      </c>
      <c r="N188">
        <v>0</v>
      </c>
      <c r="O188">
        <v>14000</v>
      </c>
      <c r="P188">
        <v>3225.61</v>
      </c>
      <c r="Q188">
        <v>111.22</v>
      </c>
      <c r="R188" t="s">
        <v>39</v>
      </c>
    </row>
    <row r="189" spans="1:18" x14ac:dyDescent="0.3">
      <c r="A189" t="s">
        <v>493</v>
      </c>
      <c r="B189" s="4" t="s">
        <v>494</v>
      </c>
      <c r="C189" t="s">
        <v>166</v>
      </c>
      <c r="D189" t="s">
        <v>167</v>
      </c>
      <c r="E189" t="s">
        <v>67</v>
      </c>
      <c r="F189" t="s">
        <v>44</v>
      </c>
      <c r="G189" t="s">
        <v>216</v>
      </c>
      <c r="H189" t="s">
        <v>316</v>
      </c>
      <c r="I189" t="s">
        <v>47</v>
      </c>
      <c r="J189" t="s">
        <v>119</v>
      </c>
      <c r="K189" t="s">
        <v>310</v>
      </c>
      <c r="L189">
        <v>5</v>
      </c>
      <c r="M189">
        <v>1500</v>
      </c>
      <c r="N189">
        <v>0.2</v>
      </c>
      <c r="O189">
        <v>6000</v>
      </c>
      <c r="P189">
        <v>824.18</v>
      </c>
      <c r="Q189">
        <v>498.8</v>
      </c>
      <c r="R189" t="s">
        <v>57</v>
      </c>
    </row>
    <row r="190" spans="1:18" x14ac:dyDescent="0.3">
      <c r="A190" t="s">
        <v>495</v>
      </c>
      <c r="B190" s="4" t="s">
        <v>496</v>
      </c>
      <c r="C190" t="s">
        <v>157</v>
      </c>
      <c r="D190" t="s">
        <v>158</v>
      </c>
      <c r="E190" t="s">
        <v>52</v>
      </c>
      <c r="F190" t="s">
        <v>53</v>
      </c>
      <c r="G190" t="s">
        <v>83</v>
      </c>
      <c r="H190" t="s">
        <v>129</v>
      </c>
      <c r="I190" t="s">
        <v>26</v>
      </c>
      <c r="J190" t="s">
        <v>91</v>
      </c>
      <c r="K190" t="s">
        <v>109</v>
      </c>
      <c r="L190">
        <v>2</v>
      </c>
      <c r="M190">
        <v>8000</v>
      </c>
      <c r="N190">
        <v>0.2</v>
      </c>
      <c r="O190">
        <v>12800</v>
      </c>
      <c r="P190">
        <v>2951.36</v>
      </c>
      <c r="Q190">
        <v>234.61</v>
      </c>
      <c r="R190" t="s">
        <v>39</v>
      </c>
    </row>
    <row r="191" spans="1:18" x14ac:dyDescent="0.3">
      <c r="A191" t="s">
        <v>497</v>
      </c>
      <c r="B191" s="4" t="s">
        <v>498</v>
      </c>
      <c r="C191" t="s">
        <v>89</v>
      </c>
      <c r="D191" t="s">
        <v>90</v>
      </c>
      <c r="E191" t="s">
        <v>67</v>
      </c>
      <c r="F191" t="s">
        <v>44</v>
      </c>
      <c r="G191" t="s">
        <v>216</v>
      </c>
      <c r="H191" t="s">
        <v>266</v>
      </c>
      <c r="I191" t="s">
        <v>36</v>
      </c>
      <c r="J191" t="s">
        <v>113</v>
      </c>
      <c r="K191" t="s">
        <v>159</v>
      </c>
      <c r="L191">
        <v>1</v>
      </c>
      <c r="M191">
        <v>1500</v>
      </c>
      <c r="N191">
        <v>0.15</v>
      </c>
      <c r="O191">
        <v>1275</v>
      </c>
      <c r="P191">
        <v>237.19</v>
      </c>
      <c r="Q191">
        <v>322.04000000000002</v>
      </c>
      <c r="R191" t="s">
        <v>64</v>
      </c>
    </row>
    <row r="192" spans="1:18" x14ac:dyDescent="0.3">
      <c r="A192" t="s">
        <v>499</v>
      </c>
      <c r="B192" s="4" t="s">
        <v>500</v>
      </c>
      <c r="C192" t="s">
        <v>104</v>
      </c>
      <c r="D192" t="s">
        <v>105</v>
      </c>
      <c r="E192" t="s">
        <v>52</v>
      </c>
      <c r="F192" t="s">
        <v>44</v>
      </c>
      <c r="G192" t="s">
        <v>216</v>
      </c>
      <c r="H192" t="s">
        <v>217</v>
      </c>
      <c r="I192" t="s">
        <v>36</v>
      </c>
      <c r="J192" t="s">
        <v>140</v>
      </c>
      <c r="K192" t="s">
        <v>168</v>
      </c>
      <c r="L192">
        <v>2</v>
      </c>
      <c r="M192">
        <v>1800</v>
      </c>
      <c r="N192">
        <v>0.2</v>
      </c>
      <c r="O192">
        <v>2880</v>
      </c>
      <c r="P192">
        <v>796.66</v>
      </c>
      <c r="Q192">
        <v>122.17</v>
      </c>
      <c r="R192" t="s">
        <v>57</v>
      </c>
    </row>
    <row r="193" spans="1:18" x14ac:dyDescent="0.3">
      <c r="A193" t="s">
        <v>501</v>
      </c>
      <c r="B193" s="4" t="s">
        <v>492</v>
      </c>
      <c r="C193" t="s">
        <v>32</v>
      </c>
      <c r="D193" t="s">
        <v>33</v>
      </c>
      <c r="E193" t="s">
        <v>22</v>
      </c>
      <c r="F193" t="s">
        <v>44</v>
      </c>
      <c r="G193" t="s">
        <v>216</v>
      </c>
      <c r="H193" t="s">
        <v>316</v>
      </c>
      <c r="I193" t="s">
        <v>36</v>
      </c>
      <c r="J193" t="s">
        <v>113</v>
      </c>
      <c r="K193" t="s">
        <v>114</v>
      </c>
      <c r="L193">
        <v>4</v>
      </c>
      <c r="M193">
        <v>600</v>
      </c>
      <c r="N193">
        <v>0.2</v>
      </c>
      <c r="O193">
        <v>1920</v>
      </c>
      <c r="P193">
        <v>191.04</v>
      </c>
      <c r="Q193">
        <v>410.86</v>
      </c>
      <c r="R193" t="s">
        <v>64</v>
      </c>
    </row>
    <row r="194" spans="1:18" x14ac:dyDescent="0.3">
      <c r="A194" t="s">
        <v>502</v>
      </c>
      <c r="B194" s="4" t="s">
        <v>503</v>
      </c>
      <c r="C194" t="s">
        <v>147</v>
      </c>
      <c r="D194" t="s">
        <v>148</v>
      </c>
      <c r="E194" t="s">
        <v>52</v>
      </c>
      <c r="F194" t="s">
        <v>23</v>
      </c>
      <c r="G194" t="s">
        <v>24</v>
      </c>
      <c r="H194" t="s">
        <v>68</v>
      </c>
      <c r="I194" t="s">
        <v>47</v>
      </c>
      <c r="J194" t="s">
        <v>85</v>
      </c>
      <c r="K194" t="s">
        <v>289</v>
      </c>
      <c r="L194">
        <v>4</v>
      </c>
      <c r="M194">
        <v>2200</v>
      </c>
      <c r="N194">
        <v>0</v>
      </c>
      <c r="O194">
        <v>8800</v>
      </c>
      <c r="P194">
        <v>770.56</v>
      </c>
      <c r="Q194">
        <v>437.04</v>
      </c>
      <c r="R194" t="s">
        <v>39</v>
      </c>
    </row>
    <row r="195" spans="1:18" x14ac:dyDescent="0.3">
      <c r="A195" t="s">
        <v>504</v>
      </c>
      <c r="B195" s="4" t="s">
        <v>496</v>
      </c>
      <c r="C195" t="s">
        <v>211</v>
      </c>
      <c r="D195" t="s">
        <v>212</v>
      </c>
      <c r="E195" t="s">
        <v>52</v>
      </c>
      <c r="F195" t="s">
        <v>44</v>
      </c>
      <c r="G195" t="s">
        <v>45</v>
      </c>
      <c r="H195" t="s">
        <v>124</v>
      </c>
      <c r="I195" t="s">
        <v>47</v>
      </c>
      <c r="J195" t="s">
        <v>119</v>
      </c>
      <c r="K195" t="s">
        <v>208</v>
      </c>
      <c r="L195">
        <v>5</v>
      </c>
      <c r="M195">
        <v>600</v>
      </c>
      <c r="N195">
        <v>0.15</v>
      </c>
      <c r="O195">
        <v>2550</v>
      </c>
      <c r="P195">
        <v>409.58</v>
      </c>
      <c r="Q195">
        <v>167.65</v>
      </c>
      <c r="R195" t="s">
        <v>39</v>
      </c>
    </row>
    <row r="196" spans="1:18" x14ac:dyDescent="0.3">
      <c r="A196" t="s">
        <v>505</v>
      </c>
      <c r="B196" s="4" t="s">
        <v>506</v>
      </c>
      <c r="C196" t="s">
        <v>127</v>
      </c>
      <c r="D196" t="s">
        <v>128</v>
      </c>
      <c r="E196" t="s">
        <v>52</v>
      </c>
      <c r="F196" t="s">
        <v>106</v>
      </c>
      <c r="G196" t="s">
        <v>107</v>
      </c>
      <c r="H196" t="s">
        <v>139</v>
      </c>
      <c r="I196" t="s">
        <v>26</v>
      </c>
      <c r="J196" t="s">
        <v>69</v>
      </c>
      <c r="K196" t="s">
        <v>131</v>
      </c>
      <c r="L196">
        <v>4</v>
      </c>
      <c r="M196">
        <v>115000</v>
      </c>
      <c r="N196">
        <v>0</v>
      </c>
      <c r="O196">
        <v>460000</v>
      </c>
      <c r="P196">
        <v>65845.62</v>
      </c>
      <c r="Q196">
        <v>352.17</v>
      </c>
      <c r="R196" t="s">
        <v>57</v>
      </c>
    </row>
    <row r="197" spans="1:18" x14ac:dyDescent="0.3">
      <c r="A197" t="s">
        <v>507</v>
      </c>
      <c r="B197" s="4" t="s">
        <v>508</v>
      </c>
      <c r="C197" t="s">
        <v>157</v>
      </c>
      <c r="D197" t="s">
        <v>158</v>
      </c>
      <c r="E197" t="s">
        <v>67</v>
      </c>
      <c r="F197" t="s">
        <v>23</v>
      </c>
      <c r="G197" t="s">
        <v>24</v>
      </c>
      <c r="H197" t="s">
        <v>351</v>
      </c>
      <c r="I197" t="s">
        <v>36</v>
      </c>
      <c r="J197" t="s">
        <v>113</v>
      </c>
      <c r="K197" t="s">
        <v>159</v>
      </c>
      <c r="L197">
        <v>1</v>
      </c>
      <c r="M197">
        <v>1500</v>
      </c>
      <c r="N197">
        <v>0.2</v>
      </c>
      <c r="O197">
        <v>1200</v>
      </c>
      <c r="P197">
        <v>167.46</v>
      </c>
      <c r="Q197">
        <v>128.51</v>
      </c>
      <c r="R197" t="s">
        <v>64</v>
      </c>
    </row>
    <row r="198" spans="1:18" x14ac:dyDescent="0.3">
      <c r="A198" t="s">
        <v>509</v>
      </c>
      <c r="B198" s="4" t="s">
        <v>510</v>
      </c>
      <c r="C198" t="s">
        <v>171</v>
      </c>
      <c r="D198" t="s">
        <v>172</v>
      </c>
      <c r="E198" t="s">
        <v>52</v>
      </c>
      <c r="F198" t="s">
        <v>106</v>
      </c>
      <c r="G198" t="s">
        <v>107</v>
      </c>
      <c r="H198" t="s">
        <v>108</v>
      </c>
      <c r="I198" t="s">
        <v>36</v>
      </c>
      <c r="J198" t="s">
        <v>37</v>
      </c>
      <c r="K198" t="s">
        <v>371</v>
      </c>
      <c r="L198">
        <v>5</v>
      </c>
      <c r="M198">
        <v>4500</v>
      </c>
      <c r="N198">
        <v>0.2</v>
      </c>
      <c r="O198">
        <v>18000</v>
      </c>
      <c r="P198">
        <v>2204.65</v>
      </c>
      <c r="Q198">
        <v>105.03</v>
      </c>
      <c r="R198" t="s">
        <v>39</v>
      </c>
    </row>
    <row r="199" spans="1:18" x14ac:dyDescent="0.3">
      <c r="A199" t="s">
        <v>511</v>
      </c>
      <c r="B199" s="4" t="s">
        <v>503</v>
      </c>
      <c r="C199" t="s">
        <v>117</v>
      </c>
      <c r="D199" t="s">
        <v>118</v>
      </c>
      <c r="E199" t="s">
        <v>22</v>
      </c>
      <c r="F199" t="s">
        <v>53</v>
      </c>
      <c r="G199" t="s">
        <v>100</v>
      </c>
      <c r="H199" t="s">
        <v>101</v>
      </c>
      <c r="I199" t="s">
        <v>26</v>
      </c>
      <c r="J199" t="s">
        <v>27</v>
      </c>
      <c r="K199" t="s">
        <v>358</v>
      </c>
      <c r="L199">
        <v>2</v>
      </c>
      <c r="M199">
        <v>22000</v>
      </c>
      <c r="N199">
        <v>0</v>
      </c>
      <c r="O199">
        <v>44000</v>
      </c>
      <c r="P199">
        <v>9369.33</v>
      </c>
      <c r="Q199">
        <v>405.71</v>
      </c>
      <c r="R199" t="s">
        <v>39</v>
      </c>
    </row>
    <row r="200" spans="1:18" x14ac:dyDescent="0.3">
      <c r="A200" t="s">
        <v>512</v>
      </c>
      <c r="B200" s="4" t="s">
        <v>498</v>
      </c>
      <c r="C200" t="s">
        <v>206</v>
      </c>
      <c r="D200" t="s">
        <v>207</v>
      </c>
      <c r="E200" t="s">
        <v>67</v>
      </c>
      <c r="F200" t="s">
        <v>23</v>
      </c>
      <c r="G200" t="s">
        <v>24</v>
      </c>
      <c r="H200" t="s">
        <v>25</v>
      </c>
      <c r="I200" t="s">
        <v>36</v>
      </c>
      <c r="J200" t="s">
        <v>113</v>
      </c>
      <c r="K200" t="s">
        <v>220</v>
      </c>
      <c r="L200">
        <v>5</v>
      </c>
      <c r="M200">
        <v>1800</v>
      </c>
      <c r="N200">
        <v>0.2</v>
      </c>
      <c r="O200">
        <v>7200</v>
      </c>
      <c r="P200">
        <v>1214.3599999999999</v>
      </c>
      <c r="Q200">
        <v>310.86</v>
      </c>
      <c r="R200" t="s">
        <v>29</v>
      </c>
    </row>
    <row r="201" spans="1:18" x14ac:dyDescent="0.3">
      <c r="A201" t="s">
        <v>513</v>
      </c>
      <c r="B201" s="4" t="s">
        <v>500</v>
      </c>
      <c r="C201" t="s">
        <v>117</v>
      </c>
      <c r="D201" t="s">
        <v>118</v>
      </c>
      <c r="E201" t="s">
        <v>52</v>
      </c>
      <c r="F201" t="s">
        <v>106</v>
      </c>
      <c r="G201" t="s">
        <v>149</v>
      </c>
      <c r="H201" t="s">
        <v>150</v>
      </c>
      <c r="I201" t="s">
        <v>47</v>
      </c>
      <c r="J201" t="s">
        <v>48</v>
      </c>
      <c r="K201" t="s">
        <v>407</v>
      </c>
      <c r="L201">
        <v>3</v>
      </c>
      <c r="M201">
        <v>1200</v>
      </c>
      <c r="N201">
        <v>0.15</v>
      </c>
      <c r="O201">
        <v>3060</v>
      </c>
      <c r="P201">
        <v>659.96</v>
      </c>
      <c r="Q201">
        <v>430.16</v>
      </c>
      <c r="R201" t="s">
        <v>29</v>
      </c>
    </row>
    <row r="202" spans="1:18" x14ac:dyDescent="0.3">
      <c r="A202" t="s">
        <v>514</v>
      </c>
      <c r="B202" s="4" t="s">
        <v>515</v>
      </c>
      <c r="C202" t="s">
        <v>42</v>
      </c>
      <c r="D202" t="s">
        <v>43</v>
      </c>
      <c r="E202" t="s">
        <v>67</v>
      </c>
      <c r="F202" t="s">
        <v>23</v>
      </c>
      <c r="G202" t="s">
        <v>34</v>
      </c>
      <c r="H202" t="s">
        <v>239</v>
      </c>
      <c r="I202" t="s">
        <v>47</v>
      </c>
      <c r="J202" t="s">
        <v>48</v>
      </c>
      <c r="K202" t="s">
        <v>63</v>
      </c>
      <c r="L202">
        <v>5</v>
      </c>
      <c r="M202">
        <v>2800</v>
      </c>
      <c r="N202">
        <v>0</v>
      </c>
      <c r="O202">
        <v>14000</v>
      </c>
      <c r="P202">
        <v>1355.35</v>
      </c>
      <c r="Q202">
        <v>197.41</v>
      </c>
      <c r="R202" t="s">
        <v>29</v>
      </c>
    </row>
    <row r="203" spans="1:18" x14ac:dyDescent="0.3">
      <c r="A203" t="s">
        <v>516</v>
      </c>
      <c r="B203" s="4" t="s">
        <v>517</v>
      </c>
      <c r="C203" t="s">
        <v>20</v>
      </c>
      <c r="D203" t="s">
        <v>21</v>
      </c>
      <c r="E203" t="s">
        <v>52</v>
      </c>
      <c r="F203" t="s">
        <v>53</v>
      </c>
      <c r="G203" t="s">
        <v>54</v>
      </c>
      <c r="H203" t="s">
        <v>112</v>
      </c>
      <c r="I203" t="s">
        <v>26</v>
      </c>
      <c r="J203" t="s">
        <v>91</v>
      </c>
      <c r="K203" t="s">
        <v>92</v>
      </c>
      <c r="L203">
        <v>5</v>
      </c>
      <c r="M203">
        <v>1200</v>
      </c>
      <c r="N203">
        <v>0.1</v>
      </c>
      <c r="O203">
        <v>5400</v>
      </c>
      <c r="P203">
        <v>623.96</v>
      </c>
      <c r="Q203">
        <v>161.94999999999999</v>
      </c>
      <c r="R203" t="s">
        <v>29</v>
      </c>
    </row>
    <row r="204" spans="1:18" x14ac:dyDescent="0.3">
      <c r="A204" t="s">
        <v>518</v>
      </c>
      <c r="B204" s="4" t="s">
        <v>519</v>
      </c>
      <c r="C204" t="s">
        <v>20</v>
      </c>
      <c r="D204" t="s">
        <v>21</v>
      </c>
      <c r="E204" t="s">
        <v>52</v>
      </c>
      <c r="F204" t="s">
        <v>44</v>
      </c>
      <c r="G204" t="s">
        <v>216</v>
      </c>
      <c r="H204" t="s">
        <v>266</v>
      </c>
      <c r="I204" t="s">
        <v>47</v>
      </c>
      <c r="J204" t="s">
        <v>119</v>
      </c>
      <c r="K204" t="s">
        <v>208</v>
      </c>
      <c r="L204">
        <v>1</v>
      </c>
      <c r="M204">
        <v>600</v>
      </c>
      <c r="N204">
        <v>0</v>
      </c>
      <c r="O204">
        <v>600</v>
      </c>
      <c r="P204">
        <v>124.54</v>
      </c>
      <c r="Q204">
        <v>220.82</v>
      </c>
      <c r="R204" t="s">
        <v>29</v>
      </c>
    </row>
    <row r="205" spans="1:18" x14ac:dyDescent="0.3">
      <c r="A205" t="s">
        <v>520</v>
      </c>
      <c r="B205" s="4" t="s">
        <v>521</v>
      </c>
      <c r="C205" t="s">
        <v>185</v>
      </c>
      <c r="D205" t="s">
        <v>186</v>
      </c>
      <c r="E205" t="s">
        <v>22</v>
      </c>
      <c r="F205" t="s">
        <v>44</v>
      </c>
      <c r="G205" t="s">
        <v>216</v>
      </c>
      <c r="H205" t="s">
        <v>316</v>
      </c>
      <c r="I205" t="s">
        <v>47</v>
      </c>
      <c r="J205" t="s">
        <v>48</v>
      </c>
      <c r="K205" t="s">
        <v>97</v>
      </c>
      <c r="L205">
        <v>1</v>
      </c>
      <c r="M205">
        <v>1500</v>
      </c>
      <c r="N205">
        <v>0.1</v>
      </c>
      <c r="O205">
        <v>1350</v>
      </c>
      <c r="P205">
        <v>188.49</v>
      </c>
      <c r="Q205">
        <v>428.19</v>
      </c>
      <c r="R205" t="s">
        <v>39</v>
      </c>
    </row>
    <row r="206" spans="1:18" x14ac:dyDescent="0.3">
      <c r="A206" t="s">
        <v>522</v>
      </c>
      <c r="B206" s="4" t="s">
        <v>510</v>
      </c>
      <c r="C206" t="s">
        <v>157</v>
      </c>
      <c r="D206" t="s">
        <v>158</v>
      </c>
      <c r="E206" t="s">
        <v>67</v>
      </c>
      <c r="F206" t="s">
        <v>44</v>
      </c>
      <c r="G206" t="s">
        <v>45</v>
      </c>
      <c r="H206" t="s">
        <v>96</v>
      </c>
      <c r="I206" t="s">
        <v>47</v>
      </c>
      <c r="J206" t="s">
        <v>119</v>
      </c>
      <c r="K206" t="s">
        <v>310</v>
      </c>
      <c r="L206">
        <v>3</v>
      </c>
      <c r="M206">
        <v>1500</v>
      </c>
      <c r="N206">
        <v>0</v>
      </c>
      <c r="O206">
        <v>4500</v>
      </c>
      <c r="P206">
        <v>1124.31</v>
      </c>
      <c r="Q206">
        <v>58.45</v>
      </c>
      <c r="R206" t="s">
        <v>57</v>
      </c>
    </row>
    <row r="207" spans="1:18" x14ac:dyDescent="0.3">
      <c r="A207" t="s">
        <v>523</v>
      </c>
      <c r="B207" s="4" t="s">
        <v>494</v>
      </c>
      <c r="C207" t="s">
        <v>122</v>
      </c>
      <c r="D207" t="s">
        <v>123</v>
      </c>
      <c r="E207" t="s">
        <v>22</v>
      </c>
      <c r="F207" t="s">
        <v>106</v>
      </c>
      <c r="G207" t="s">
        <v>149</v>
      </c>
      <c r="H207" t="s">
        <v>234</v>
      </c>
      <c r="I207" t="s">
        <v>26</v>
      </c>
      <c r="J207" t="s">
        <v>91</v>
      </c>
      <c r="K207" t="s">
        <v>153</v>
      </c>
      <c r="L207">
        <v>1</v>
      </c>
      <c r="M207">
        <v>800</v>
      </c>
      <c r="N207">
        <v>0.2</v>
      </c>
      <c r="O207">
        <v>640</v>
      </c>
      <c r="P207">
        <v>59.2</v>
      </c>
      <c r="Q207">
        <v>323.70999999999998</v>
      </c>
      <c r="R207" t="s">
        <v>29</v>
      </c>
    </row>
    <row r="208" spans="1:18" x14ac:dyDescent="0.3">
      <c r="A208" t="s">
        <v>524</v>
      </c>
      <c r="B208" s="4" t="s">
        <v>525</v>
      </c>
      <c r="C208" t="s">
        <v>211</v>
      </c>
      <c r="D208" t="s">
        <v>212</v>
      </c>
      <c r="E208" t="s">
        <v>22</v>
      </c>
      <c r="F208" t="s">
        <v>106</v>
      </c>
      <c r="G208" t="s">
        <v>306</v>
      </c>
      <c r="H208" t="s">
        <v>366</v>
      </c>
      <c r="I208" t="s">
        <v>47</v>
      </c>
      <c r="J208" t="s">
        <v>48</v>
      </c>
      <c r="K208" t="s">
        <v>407</v>
      </c>
      <c r="L208">
        <v>4</v>
      </c>
      <c r="M208">
        <v>1200</v>
      </c>
      <c r="N208">
        <v>0</v>
      </c>
      <c r="O208">
        <v>4800</v>
      </c>
      <c r="P208">
        <v>1081.52</v>
      </c>
      <c r="Q208">
        <v>156.76</v>
      </c>
      <c r="R208" t="s">
        <v>39</v>
      </c>
    </row>
    <row r="209" spans="1:18" x14ac:dyDescent="0.3">
      <c r="A209" t="s">
        <v>526</v>
      </c>
      <c r="B209" s="4" t="s">
        <v>527</v>
      </c>
      <c r="C209" t="s">
        <v>72</v>
      </c>
      <c r="D209" t="s">
        <v>73</v>
      </c>
      <c r="E209" t="s">
        <v>52</v>
      </c>
      <c r="F209" t="s">
        <v>44</v>
      </c>
      <c r="G209" t="s">
        <v>216</v>
      </c>
      <c r="H209" t="s">
        <v>316</v>
      </c>
      <c r="I209" t="s">
        <v>36</v>
      </c>
      <c r="J209" t="s">
        <v>113</v>
      </c>
      <c r="K209" t="s">
        <v>220</v>
      </c>
      <c r="L209">
        <v>3</v>
      </c>
      <c r="M209">
        <v>1800</v>
      </c>
      <c r="N209">
        <v>0</v>
      </c>
      <c r="O209">
        <v>5400</v>
      </c>
      <c r="P209">
        <v>1429.87</v>
      </c>
      <c r="Q209">
        <v>411.09</v>
      </c>
      <c r="R209" t="s">
        <v>29</v>
      </c>
    </row>
    <row r="210" spans="1:18" x14ac:dyDescent="0.3">
      <c r="A210" t="s">
        <v>528</v>
      </c>
      <c r="B210" s="4" t="s">
        <v>529</v>
      </c>
      <c r="C210" t="s">
        <v>242</v>
      </c>
      <c r="D210" t="s">
        <v>243</v>
      </c>
      <c r="E210" t="s">
        <v>22</v>
      </c>
      <c r="F210" t="s">
        <v>23</v>
      </c>
      <c r="G210" t="s">
        <v>24</v>
      </c>
      <c r="H210" t="s">
        <v>68</v>
      </c>
      <c r="I210" t="s">
        <v>36</v>
      </c>
      <c r="J210" t="s">
        <v>113</v>
      </c>
      <c r="K210" t="s">
        <v>220</v>
      </c>
      <c r="L210">
        <v>3</v>
      </c>
      <c r="M210">
        <v>1800</v>
      </c>
      <c r="N210">
        <v>0.1</v>
      </c>
      <c r="O210">
        <v>4860</v>
      </c>
      <c r="P210">
        <v>979</v>
      </c>
      <c r="Q210">
        <v>265.57</v>
      </c>
      <c r="R210" t="s">
        <v>64</v>
      </c>
    </row>
    <row r="211" spans="1:18" x14ac:dyDescent="0.3">
      <c r="A211" t="s">
        <v>530</v>
      </c>
      <c r="B211" s="4" t="s">
        <v>531</v>
      </c>
      <c r="C211" t="s">
        <v>211</v>
      </c>
      <c r="D211" t="s">
        <v>212</v>
      </c>
      <c r="E211" t="s">
        <v>22</v>
      </c>
      <c r="F211" t="s">
        <v>53</v>
      </c>
      <c r="G211" t="s">
        <v>54</v>
      </c>
      <c r="H211" t="s">
        <v>55</v>
      </c>
      <c r="I211" t="s">
        <v>47</v>
      </c>
      <c r="J211" t="s">
        <v>48</v>
      </c>
      <c r="K211" t="s">
        <v>407</v>
      </c>
      <c r="L211">
        <v>5</v>
      </c>
      <c r="M211">
        <v>1200</v>
      </c>
      <c r="N211">
        <v>0</v>
      </c>
      <c r="O211">
        <v>6000</v>
      </c>
      <c r="P211">
        <v>532.27</v>
      </c>
      <c r="Q211">
        <v>272.8</v>
      </c>
      <c r="R211" t="s">
        <v>57</v>
      </c>
    </row>
    <row r="212" spans="1:18" x14ac:dyDescent="0.3">
      <c r="A212" t="s">
        <v>532</v>
      </c>
      <c r="B212" s="4" t="s">
        <v>533</v>
      </c>
      <c r="C212" t="s">
        <v>122</v>
      </c>
      <c r="D212" t="s">
        <v>123</v>
      </c>
      <c r="E212" t="s">
        <v>67</v>
      </c>
      <c r="F212" t="s">
        <v>106</v>
      </c>
      <c r="G212" t="s">
        <v>149</v>
      </c>
      <c r="H212" t="s">
        <v>150</v>
      </c>
      <c r="I212" t="s">
        <v>36</v>
      </c>
      <c r="J212" t="s">
        <v>37</v>
      </c>
      <c r="K212" t="s">
        <v>371</v>
      </c>
      <c r="L212">
        <v>2</v>
      </c>
      <c r="M212">
        <v>4500</v>
      </c>
      <c r="N212">
        <v>0.2</v>
      </c>
      <c r="O212">
        <v>7200</v>
      </c>
      <c r="P212">
        <v>1809.34</v>
      </c>
      <c r="Q212">
        <v>445.18</v>
      </c>
      <c r="R212" t="s">
        <v>64</v>
      </c>
    </row>
    <row r="213" spans="1:18" x14ac:dyDescent="0.3">
      <c r="A213" t="s">
        <v>534</v>
      </c>
      <c r="B213" s="4" t="s">
        <v>535</v>
      </c>
      <c r="C213" t="s">
        <v>278</v>
      </c>
      <c r="D213" t="s">
        <v>279</v>
      </c>
      <c r="E213" t="s">
        <v>67</v>
      </c>
      <c r="F213" t="s">
        <v>53</v>
      </c>
      <c r="G213" t="s">
        <v>100</v>
      </c>
      <c r="H213" t="s">
        <v>213</v>
      </c>
      <c r="I213" t="s">
        <v>36</v>
      </c>
      <c r="J213" t="s">
        <v>140</v>
      </c>
      <c r="K213" t="s">
        <v>168</v>
      </c>
      <c r="L213">
        <v>2</v>
      </c>
      <c r="M213">
        <v>1800</v>
      </c>
      <c r="N213">
        <v>0.05</v>
      </c>
      <c r="O213">
        <v>3420</v>
      </c>
      <c r="P213">
        <v>821.7</v>
      </c>
      <c r="Q213">
        <v>403.17</v>
      </c>
      <c r="R213" t="s">
        <v>64</v>
      </c>
    </row>
    <row r="214" spans="1:18" x14ac:dyDescent="0.3">
      <c r="A214" t="s">
        <v>536</v>
      </c>
      <c r="B214" s="4" t="s">
        <v>537</v>
      </c>
      <c r="C214" t="s">
        <v>211</v>
      </c>
      <c r="D214" t="s">
        <v>212</v>
      </c>
      <c r="E214" t="s">
        <v>67</v>
      </c>
      <c r="F214" t="s">
        <v>53</v>
      </c>
      <c r="G214" t="s">
        <v>83</v>
      </c>
      <c r="H214" t="s">
        <v>84</v>
      </c>
      <c r="I214" t="s">
        <v>36</v>
      </c>
      <c r="J214" t="s">
        <v>140</v>
      </c>
      <c r="K214" t="s">
        <v>337</v>
      </c>
      <c r="L214">
        <v>1</v>
      </c>
      <c r="M214">
        <v>5500</v>
      </c>
      <c r="N214">
        <v>0.2</v>
      </c>
      <c r="O214">
        <v>4400</v>
      </c>
      <c r="P214">
        <v>1000.11</v>
      </c>
      <c r="Q214">
        <v>175.43</v>
      </c>
      <c r="R214" t="s">
        <v>64</v>
      </c>
    </row>
    <row r="215" spans="1:18" x14ac:dyDescent="0.3">
      <c r="A215" t="s">
        <v>538</v>
      </c>
      <c r="B215" s="4" t="s">
        <v>539</v>
      </c>
      <c r="C215" t="s">
        <v>122</v>
      </c>
      <c r="D215" t="s">
        <v>123</v>
      </c>
      <c r="E215" t="s">
        <v>67</v>
      </c>
      <c r="F215" t="s">
        <v>53</v>
      </c>
      <c r="G215" t="s">
        <v>83</v>
      </c>
      <c r="H215" t="s">
        <v>84</v>
      </c>
      <c r="I215" t="s">
        <v>47</v>
      </c>
      <c r="J215" t="s">
        <v>85</v>
      </c>
      <c r="K215" t="s">
        <v>86</v>
      </c>
      <c r="L215">
        <v>5</v>
      </c>
      <c r="M215">
        <v>3500</v>
      </c>
      <c r="N215">
        <v>0.05</v>
      </c>
      <c r="O215">
        <v>16625</v>
      </c>
      <c r="P215">
        <v>2239.9899999999998</v>
      </c>
      <c r="Q215">
        <v>347.38</v>
      </c>
      <c r="R215" t="s">
        <v>39</v>
      </c>
    </row>
    <row r="216" spans="1:18" x14ac:dyDescent="0.3">
      <c r="A216" t="s">
        <v>540</v>
      </c>
      <c r="B216" s="4" t="s">
        <v>541</v>
      </c>
      <c r="C216" t="s">
        <v>60</v>
      </c>
      <c r="D216" t="s">
        <v>61</v>
      </c>
      <c r="E216" t="s">
        <v>52</v>
      </c>
      <c r="F216" t="s">
        <v>23</v>
      </c>
      <c r="G216" t="s">
        <v>24</v>
      </c>
      <c r="H216" t="s">
        <v>68</v>
      </c>
      <c r="I216" t="s">
        <v>47</v>
      </c>
      <c r="J216" t="s">
        <v>85</v>
      </c>
      <c r="K216" t="s">
        <v>274</v>
      </c>
      <c r="L216">
        <v>4</v>
      </c>
      <c r="M216">
        <v>2400</v>
      </c>
      <c r="N216">
        <v>0.05</v>
      </c>
      <c r="O216">
        <v>9120</v>
      </c>
      <c r="P216">
        <v>1568.81</v>
      </c>
      <c r="Q216">
        <v>218.02</v>
      </c>
      <c r="R216" t="s">
        <v>29</v>
      </c>
    </row>
    <row r="217" spans="1:18" x14ac:dyDescent="0.3">
      <c r="A217" t="s">
        <v>542</v>
      </c>
      <c r="B217" s="4" t="s">
        <v>543</v>
      </c>
      <c r="C217" t="s">
        <v>171</v>
      </c>
      <c r="D217" t="s">
        <v>172</v>
      </c>
      <c r="E217" t="s">
        <v>52</v>
      </c>
      <c r="F217" t="s">
        <v>44</v>
      </c>
      <c r="G217" t="s">
        <v>216</v>
      </c>
      <c r="H217" t="s">
        <v>217</v>
      </c>
      <c r="I217" t="s">
        <v>26</v>
      </c>
      <c r="J217" t="s">
        <v>27</v>
      </c>
      <c r="K217" t="s">
        <v>358</v>
      </c>
      <c r="L217">
        <v>5</v>
      </c>
      <c r="M217">
        <v>22000</v>
      </c>
      <c r="N217">
        <v>0</v>
      </c>
      <c r="O217">
        <v>110000</v>
      </c>
      <c r="P217">
        <v>28980.46</v>
      </c>
      <c r="Q217">
        <v>140.81</v>
      </c>
      <c r="R217" t="s">
        <v>64</v>
      </c>
    </row>
    <row r="218" spans="1:18" x14ac:dyDescent="0.3">
      <c r="A218" t="s">
        <v>544</v>
      </c>
      <c r="B218" s="4" t="s">
        <v>533</v>
      </c>
      <c r="C218" t="s">
        <v>94</v>
      </c>
      <c r="D218" t="s">
        <v>95</v>
      </c>
      <c r="E218" t="s">
        <v>67</v>
      </c>
      <c r="F218" t="s">
        <v>44</v>
      </c>
      <c r="G218" t="s">
        <v>192</v>
      </c>
      <c r="H218" t="s">
        <v>201</v>
      </c>
      <c r="I218" t="s">
        <v>36</v>
      </c>
      <c r="J218" t="s">
        <v>140</v>
      </c>
      <c r="K218" t="s">
        <v>287</v>
      </c>
      <c r="L218">
        <v>5</v>
      </c>
      <c r="M218">
        <v>4000</v>
      </c>
      <c r="N218">
        <v>0</v>
      </c>
      <c r="O218">
        <v>20000</v>
      </c>
      <c r="P218">
        <v>4933.12</v>
      </c>
      <c r="Q218">
        <v>362.56</v>
      </c>
      <c r="R218" t="s">
        <v>29</v>
      </c>
    </row>
    <row r="219" spans="1:18" x14ac:dyDescent="0.3">
      <c r="A219" t="s">
        <v>545</v>
      </c>
      <c r="B219" s="4" t="s">
        <v>535</v>
      </c>
      <c r="C219" t="s">
        <v>206</v>
      </c>
      <c r="D219" t="s">
        <v>207</v>
      </c>
      <c r="E219" t="s">
        <v>52</v>
      </c>
      <c r="F219" t="s">
        <v>106</v>
      </c>
      <c r="G219" t="s">
        <v>306</v>
      </c>
      <c r="H219" t="s">
        <v>366</v>
      </c>
      <c r="I219" t="s">
        <v>26</v>
      </c>
      <c r="J219" t="s">
        <v>91</v>
      </c>
      <c r="K219" t="s">
        <v>199</v>
      </c>
      <c r="L219">
        <v>1</v>
      </c>
      <c r="M219">
        <v>3500</v>
      </c>
      <c r="N219">
        <v>0.15</v>
      </c>
      <c r="O219">
        <v>2975</v>
      </c>
      <c r="P219">
        <v>826.34</v>
      </c>
      <c r="Q219">
        <v>439.93</v>
      </c>
      <c r="R219" t="s">
        <v>57</v>
      </c>
    </row>
    <row r="220" spans="1:18" x14ac:dyDescent="0.3">
      <c r="A220" t="s">
        <v>546</v>
      </c>
      <c r="B220" s="4" t="s">
        <v>547</v>
      </c>
      <c r="C220" t="s">
        <v>127</v>
      </c>
      <c r="D220" t="s">
        <v>128</v>
      </c>
      <c r="E220" t="s">
        <v>67</v>
      </c>
      <c r="F220" t="s">
        <v>106</v>
      </c>
      <c r="G220" t="s">
        <v>306</v>
      </c>
      <c r="H220" t="s">
        <v>307</v>
      </c>
      <c r="I220" t="s">
        <v>36</v>
      </c>
      <c r="J220" t="s">
        <v>37</v>
      </c>
      <c r="K220" t="s">
        <v>371</v>
      </c>
      <c r="L220">
        <v>5</v>
      </c>
      <c r="M220">
        <v>4500</v>
      </c>
      <c r="N220">
        <v>0</v>
      </c>
      <c r="O220">
        <v>22500</v>
      </c>
      <c r="P220">
        <v>2641.54</v>
      </c>
      <c r="Q220">
        <v>176.43</v>
      </c>
      <c r="R220" t="s">
        <v>29</v>
      </c>
    </row>
    <row r="221" spans="1:18" x14ac:dyDescent="0.3">
      <c r="A221" t="s">
        <v>548</v>
      </c>
      <c r="B221" s="4" t="s">
        <v>549</v>
      </c>
      <c r="C221" t="s">
        <v>122</v>
      </c>
      <c r="D221" t="s">
        <v>123</v>
      </c>
      <c r="E221" t="s">
        <v>67</v>
      </c>
      <c r="F221" t="s">
        <v>53</v>
      </c>
      <c r="G221" t="s">
        <v>100</v>
      </c>
      <c r="H221" t="s">
        <v>101</v>
      </c>
      <c r="I221" t="s">
        <v>36</v>
      </c>
      <c r="J221" t="s">
        <v>140</v>
      </c>
      <c r="K221" t="s">
        <v>287</v>
      </c>
      <c r="L221">
        <v>1</v>
      </c>
      <c r="M221">
        <v>4000</v>
      </c>
      <c r="N221">
        <v>0</v>
      </c>
      <c r="O221">
        <v>4000</v>
      </c>
      <c r="P221">
        <v>733.16</v>
      </c>
      <c r="Q221">
        <v>283.31</v>
      </c>
      <c r="R221" t="s">
        <v>29</v>
      </c>
    </row>
    <row r="222" spans="1:18" x14ac:dyDescent="0.3">
      <c r="A222" t="s">
        <v>550</v>
      </c>
      <c r="B222" s="4" t="s">
        <v>551</v>
      </c>
      <c r="C222" t="s">
        <v>94</v>
      </c>
      <c r="D222" t="s">
        <v>95</v>
      </c>
      <c r="E222" t="s">
        <v>22</v>
      </c>
      <c r="F222" t="s">
        <v>44</v>
      </c>
      <c r="G222" t="s">
        <v>45</v>
      </c>
      <c r="H222" t="s">
        <v>96</v>
      </c>
      <c r="I222" t="s">
        <v>47</v>
      </c>
      <c r="J222" t="s">
        <v>48</v>
      </c>
      <c r="K222" t="s">
        <v>196</v>
      </c>
      <c r="L222">
        <v>3</v>
      </c>
      <c r="M222">
        <v>2500</v>
      </c>
      <c r="N222">
        <v>0.15</v>
      </c>
      <c r="O222">
        <v>6375</v>
      </c>
      <c r="P222">
        <v>1769.86</v>
      </c>
      <c r="Q222">
        <v>222.23</v>
      </c>
      <c r="R222" t="s">
        <v>57</v>
      </c>
    </row>
    <row r="223" spans="1:18" x14ac:dyDescent="0.3">
      <c r="A223" t="s">
        <v>552</v>
      </c>
      <c r="B223" s="4" t="s">
        <v>553</v>
      </c>
      <c r="C223" t="s">
        <v>162</v>
      </c>
      <c r="D223" t="s">
        <v>163</v>
      </c>
      <c r="E223" t="s">
        <v>22</v>
      </c>
      <c r="F223" t="s">
        <v>23</v>
      </c>
      <c r="G223" t="s">
        <v>74</v>
      </c>
      <c r="H223" t="s">
        <v>75</v>
      </c>
      <c r="I223" t="s">
        <v>36</v>
      </c>
      <c r="J223" t="s">
        <v>140</v>
      </c>
      <c r="K223" t="s">
        <v>287</v>
      </c>
      <c r="L223">
        <v>5</v>
      </c>
      <c r="M223">
        <v>4000</v>
      </c>
      <c r="N223">
        <v>0</v>
      </c>
      <c r="O223">
        <v>20000</v>
      </c>
      <c r="P223">
        <v>2418.85</v>
      </c>
      <c r="Q223">
        <v>103.71</v>
      </c>
      <c r="R223" t="s">
        <v>39</v>
      </c>
    </row>
    <row r="224" spans="1:18" x14ac:dyDescent="0.3">
      <c r="A224" t="s">
        <v>554</v>
      </c>
      <c r="B224" s="4" t="s">
        <v>555</v>
      </c>
      <c r="C224" t="s">
        <v>171</v>
      </c>
      <c r="D224" t="s">
        <v>172</v>
      </c>
      <c r="E224" t="s">
        <v>52</v>
      </c>
      <c r="F224" t="s">
        <v>106</v>
      </c>
      <c r="G224" t="s">
        <v>107</v>
      </c>
      <c r="H224" t="s">
        <v>108</v>
      </c>
      <c r="I224" t="s">
        <v>36</v>
      </c>
      <c r="J224" t="s">
        <v>37</v>
      </c>
      <c r="K224" t="s">
        <v>371</v>
      </c>
      <c r="L224">
        <v>1</v>
      </c>
      <c r="M224">
        <v>4500</v>
      </c>
      <c r="N224">
        <v>0</v>
      </c>
      <c r="O224">
        <v>4500</v>
      </c>
      <c r="P224">
        <v>913.38</v>
      </c>
      <c r="Q224">
        <v>110.15</v>
      </c>
      <c r="R224" t="s">
        <v>64</v>
      </c>
    </row>
    <row r="225" spans="1:18" x14ac:dyDescent="0.3">
      <c r="A225" t="s">
        <v>556</v>
      </c>
      <c r="B225" s="4" t="s">
        <v>527</v>
      </c>
      <c r="C225" t="s">
        <v>134</v>
      </c>
      <c r="D225" t="s">
        <v>135</v>
      </c>
      <c r="E225" t="s">
        <v>52</v>
      </c>
      <c r="F225" t="s">
        <v>23</v>
      </c>
      <c r="G225" t="s">
        <v>74</v>
      </c>
      <c r="H225" t="s">
        <v>75</v>
      </c>
      <c r="I225" t="s">
        <v>36</v>
      </c>
      <c r="J225" t="s">
        <v>113</v>
      </c>
      <c r="K225" t="s">
        <v>246</v>
      </c>
      <c r="L225">
        <v>4</v>
      </c>
      <c r="M225">
        <v>1200</v>
      </c>
      <c r="N225">
        <v>0</v>
      </c>
      <c r="O225">
        <v>4800</v>
      </c>
      <c r="P225">
        <v>751.53</v>
      </c>
      <c r="Q225">
        <v>416.86</v>
      </c>
      <c r="R225" t="s">
        <v>39</v>
      </c>
    </row>
    <row r="226" spans="1:18" x14ac:dyDescent="0.3">
      <c r="A226" t="s">
        <v>557</v>
      </c>
      <c r="B226" s="4" t="s">
        <v>531</v>
      </c>
      <c r="C226" t="s">
        <v>157</v>
      </c>
      <c r="D226" t="s">
        <v>158</v>
      </c>
      <c r="E226" t="s">
        <v>52</v>
      </c>
      <c r="F226" t="s">
        <v>53</v>
      </c>
      <c r="G226" t="s">
        <v>100</v>
      </c>
      <c r="H226" t="s">
        <v>213</v>
      </c>
      <c r="I226" t="s">
        <v>26</v>
      </c>
      <c r="J226" t="s">
        <v>69</v>
      </c>
      <c r="K226" t="s">
        <v>145</v>
      </c>
      <c r="L226">
        <v>5</v>
      </c>
      <c r="M226">
        <v>55000</v>
      </c>
      <c r="N226">
        <v>0.05</v>
      </c>
      <c r="O226">
        <v>261250</v>
      </c>
      <c r="P226">
        <v>69233.39</v>
      </c>
      <c r="Q226">
        <v>455.34</v>
      </c>
      <c r="R226" t="s">
        <v>64</v>
      </c>
    </row>
    <row r="227" spans="1:18" x14ac:dyDescent="0.3">
      <c r="A227" t="s">
        <v>558</v>
      </c>
      <c r="B227" s="4" t="s">
        <v>549</v>
      </c>
      <c r="C227" t="s">
        <v>94</v>
      </c>
      <c r="D227" t="s">
        <v>95</v>
      </c>
      <c r="E227" t="s">
        <v>52</v>
      </c>
      <c r="F227" t="s">
        <v>53</v>
      </c>
      <c r="G227" t="s">
        <v>83</v>
      </c>
      <c r="H227" t="s">
        <v>129</v>
      </c>
      <c r="I227" t="s">
        <v>36</v>
      </c>
      <c r="J227" t="s">
        <v>37</v>
      </c>
      <c r="K227" t="s">
        <v>280</v>
      </c>
      <c r="L227">
        <v>2</v>
      </c>
      <c r="M227">
        <v>25000</v>
      </c>
      <c r="N227">
        <v>0.2</v>
      </c>
      <c r="O227">
        <v>40000</v>
      </c>
      <c r="P227">
        <v>3503.39</v>
      </c>
      <c r="Q227">
        <v>361.37</v>
      </c>
      <c r="R227" t="s">
        <v>39</v>
      </c>
    </row>
    <row r="228" spans="1:18" x14ac:dyDescent="0.3">
      <c r="A228" t="s">
        <v>559</v>
      </c>
      <c r="B228" s="4" t="s">
        <v>535</v>
      </c>
      <c r="C228" t="s">
        <v>185</v>
      </c>
      <c r="D228" t="s">
        <v>186</v>
      </c>
      <c r="E228" t="s">
        <v>67</v>
      </c>
      <c r="F228" t="s">
        <v>106</v>
      </c>
      <c r="G228" t="s">
        <v>149</v>
      </c>
      <c r="H228" t="s">
        <v>234</v>
      </c>
      <c r="I228" t="s">
        <v>47</v>
      </c>
      <c r="J228" t="s">
        <v>85</v>
      </c>
      <c r="K228" t="s">
        <v>289</v>
      </c>
      <c r="L228">
        <v>3</v>
      </c>
      <c r="M228">
        <v>2200</v>
      </c>
      <c r="N228">
        <v>0</v>
      </c>
      <c r="O228">
        <v>6600</v>
      </c>
      <c r="P228">
        <v>625.89</v>
      </c>
      <c r="Q228">
        <v>371.99</v>
      </c>
      <c r="R228" t="s">
        <v>64</v>
      </c>
    </row>
    <row r="229" spans="1:18" x14ac:dyDescent="0.3">
      <c r="A229" t="s">
        <v>560</v>
      </c>
      <c r="B229" s="4" t="s">
        <v>561</v>
      </c>
      <c r="C229" t="s">
        <v>178</v>
      </c>
      <c r="D229" t="s">
        <v>179</v>
      </c>
      <c r="E229" t="s">
        <v>52</v>
      </c>
      <c r="F229" t="s">
        <v>53</v>
      </c>
      <c r="G229" t="s">
        <v>83</v>
      </c>
      <c r="H229" t="s">
        <v>84</v>
      </c>
      <c r="I229" t="s">
        <v>26</v>
      </c>
      <c r="J229" t="s">
        <v>91</v>
      </c>
      <c r="K229" t="s">
        <v>308</v>
      </c>
      <c r="L229">
        <v>2</v>
      </c>
      <c r="M229">
        <v>4500</v>
      </c>
      <c r="N229">
        <v>0.1</v>
      </c>
      <c r="O229">
        <v>8100</v>
      </c>
      <c r="P229">
        <v>1221.3900000000001</v>
      </c>
      <c r="Q229">
        <v>483.39</v>
      </c>
      <c r="R229" t="s">
        <v>57</v>
      </c>
    </row>
    <row r="230" spans="1:18" x14ac:dyDescent="0.3">
      <c r="A230" t="s">
        <v>562</v>
      </c>
      <c r="B230" s="4" t="s">
        <v>563</v>
      </c>
      <c r="C230" t="s">
        <v>185</v>
      </c>
      <c r="D230" t="s">
        <v>186</v>
      </c>
      <c r="E230" t="s">
        <v>67</v>
      </c>
      <c r="F230" t="s">
        <v>53</v>
      </c>
      <c r="G230" t="s">
        <v>100</v>
      </c>
      <c r="H230" t="s">
        <v>213</v>
      </c>
      <c r="I230" t="s">
        <v>36</v>
      </c>
      <c r="J230" t="s">
        <v>140</v>
      </c>
      <c r="K230" t="s">
        <v>141</v>
      </c>
      <c r="L230">
        <v>5</v>
      </c>
      <c r="M230">
        <v>2200</v>
      </c>
      <c r="N230">
        <v>0.2</v>
      </c>
      <c r="O230">
        <v>8800</v>
      </c>
      <c r="P230">
        <v>1844.44</v>
      </c>
      <c r="Q230">
        <v>147.99</v>
      </c>
      <c r="R230" t="s">
        <v>39</v>
      </c>
    </row>
    <row r="231" spans="1:18" x14ac:dyDescent="0.3">
      <c r="A231" t="s">
        <v>564</v>
      </c>
      <c r="B231" s="4" t="s">
        <v>565</v>
      </c>
      <c r="C231" t="s">
        <v>134</v>
      </c>
      <c r="D231" t="s">
        <v>135</v>
      </c>
      <c r="E231" t="s">
        <v>22</v>
      </c>
      <c r="F231" t="s">
        <v>106</v>
      </c>
      <c r="G231" t="s">
        <v>306</v>
      </c>
      <c r="H231" t="s">
        <v>307</v>
      </c>
      <c r="I231" t="s">
        <v>26</v>
      </c>
      <c r="J231" t="s">
        <v>27</v>
      </c>
      <c r="K231" t="s">
        <v>187</v>
      </c>
      <c r="L231">
        <v>5</v>
      </c>
      <c r="M231">
        <v>18000</v>
      </c>
      <c r="N231">
        <v>0</v>
      </c>
      <c r="O231">
        <v>90000</v>
      </c>
      <c r="P231">
        <v>17792.75</v>
      </c>
      <c r="Q231">
        <v>191.15</v>
      </c>
      <c r="R231" t="s">
        <v>39</v>
      </c>
    </row>
    <row r="232" spans="1:18" x14ac:dyDescent="0.3">
      <c r="A232" t="s">
        <v>566</v>
      </c>
      <c r="B232" s="4" t="s">
        <v>567</v>
      </c>
      <c r="C232" t="s">
        <v>185</v>
      </c>
      <c r="D232" t="s">
        <v>186</v>
      </c>
      <c r="E232" t="s">
        <v>22</v>
      </c>
      <c r="F232" t="s">
        <v>53</v>
      </c>
      <c r="G232" t="s">
        <v>100</v>
      </c>
      <c r="H232" t="s">
        <v>213</v>
      </c>
      <c r="I232" t="s">
        <v>26</v>
      </c>
      <c r="J232" t="s">
        <v>69</v>
      </c>
      <c r="K232" t="s">
        <v>136</v>
      </c>
      <c r="L232">
        <v>3</v>
      </c>
      <c r="M232">
        <v>42000</v>
      </c>
      <c r="N232">
        <v>0.05</v>
      </c>
      <c r="O232">
        <v>119700</v>
      </c>
      <c r="P232">
        <v>28875.21</v>
      </c>
      <c r="Q232">
        <v>472.1</v>
      </c>
      <c r="R232" t="s">
        <v>29</v>
      </c>
    </row>
    <row r="233" spans="1:18" x14ac:dyDescent="0.3">
      <c r="A233" t="s">
        <v>568</v>
      </c>
      <c r="B233" s="4" t="s">
        <v>569</v>
      </c>
      <c r="C233" t="s">
        <v>104</v>
      </c>
      <c r="D233" t="s">
        <v>105</v>
      </c>
      <c r="E233" t="s">
        <v>67</v>
      </c>
      <c r="F233" t="s">
        <v>53</v>
      </c>
      <c r="G233" t="s">
        <v>54</v>
      </c>
      <c r="H233" t="s">
        <v>203</v>
      </c>
      <c r="I233" t="s">
        <v>47</v>
      </c>
      <c r="J233" t="s">
        <v>48</v>
      </c>
      <c r="K233" t="s">
        <v>407</v>
      </c>
      <c r="L233">
        <v>5</v>
      </c>
      <c r="M233">
        <v>1200</v>
      </c>
      <c r="N233">
        <v>0</v>
      </c>
      <c r="O233">
        <v>6000</v>
      </c>
      <c r="P233">
        <v>520.78</v>
      </c>
      <c r="Q233">
        <v>472.72</v>
      </c>
      <c r="R233" t="s">
        <v>29</v>
      </c>
    </row>
    <row r="234" spans="1:18" x14ac:dyDescent="0.3">
      <c r="A234" t="s">
        <v>570</v>
      </c>
      <c r="B234" s="4" t="s">
        <v>571</v>
      </c>
      <c r="C234" t="s">
        <v>94</v>
      </c>
      <c r="D234" t="s">
        <v>95</v>
      </c>
      <c r="E234" t="s">
        <v>22</v>
      </c>
      <c r="F234" t="s">
        <v>106</v>
      </c>
      <c r="G234" t="s">
        <v>107</v>
      </c>
      <c r="H234" t="s">
        <v>139</v>
      </c>
      <c r="I234" t="s">
        <v>26</v>
      </c>
      <c r="J234" t="s">
        <v>27</v>
      </c>
      <c r="K234" t="s">
        <v>56</v>
      </c>
      <c r="L234">
        <v>2</v>
      </c>
      <c r="M234">
        <v>55000</v>
      </c>
      <c r="N234">
        <v>0</v>
      </c>
      <c r="O234">
        <v>110000</v>
      </c>
      <c r="P234">
        <v>21330.62</v>
      </c>
      <c r="Q234">
        <v>275.77999999999997</v>
      </c>
      <c r="R234" t="s">
        <v>64</v>
      </c>
    </row>
    <row r="235" spans="1:18" x14ac:dyDescent="0.3">
      <c r="A235" t="s">
        <v>572</v>
      </c>
      <c r="B235" s="4" t="s">
        <v>573</v>
      </c>
      <c r="C235" t="s">
        <v>104</v>
      </c>
      <c r="D235" t="s">
        <v>105</v>
      </c>
      <c r="E235" t="s">
        <v>67</v>
      </c>
      <c r="F235" t="s">
        <v>23</v>
      </c>
      <c r="G235" t="s">
        <v>34</v>
      </c>
      <c r="H235" t="s">
        <v>62</v>
      </c>
      <c r="I235" t="s">
        <v>47</v>
      </c>
      <c r="J235" t="s">
        <v>119</v>
      </c>
      <c r="K235" t="s">
        <v>310</v>
      </c>
      <c r="L235">
        <v>3</v>
      </c>
      <c r="M235">
        <v>1500</v>
      </c>
      <c r="N235">
        <v>0.05</v>
      </c>
      <c r="O235">
        <v>4275</v>
      </c>
      <c r="P235">
        <v>1054.02</v>
      </c>
      <c r="Q235">
        <v>480.07</v>
      </c>
      <c r="R235" t="s">
        <v>29</v>
      </c>
    </row>
    <row r="236" spans="1:18" x14ac:dyDescent="0.3">
      <c r="A236" t="s">
        <v>574</v>
      </c>
      <c r="B236" s="4" t="s">
        <v>575</v>
      </c>
      <c r="C236" t="s">
        <v>42</v>
      </c>
      <c r="D236" t="s">
        <v>43</v>
      </c>
      <c r="E236" t="s">
        <v>67</v>
      </c>
      <c r="F236" t="s">
        <v>44</v>
      </c>
      <c r="G236" t="s">
        <v>192</v>
      </c>
      <c r="H236" t="s">
        <v>271</v>
      </c>
      <c r="I236" t="s">
        <v>47</v>
      </c>
      <c r="J236" t="s">
        <v>85</v>
      </c>
      <c r="K236" t="s">
        <v>86</v>
      </c>
      <c r="L236">
        <v>1</v>
      </c>
      <c r="M236">
        <v>3500</v>
      </c>
      <c r="N236">
        <v>0</v>
      </c>
      <c r="O236">
        <v>3500</v>
      </c>
      <c r="P236">
        <v>892.04</v>
      </c>
      <c r="Q236">
        <v>403.49</v>
      </c>
      <c r="R236" t="s">
        <v>64</v>
      </c>
    </row>
    <row r="237" spans="1:18" x14ac:dyDescent="0.3">
      <c r="A237" t="s">
        <v>576</v>
      </c>
      <c r="B237" s="4" t="s">
        <v>577</v>
      </c>
      <c r="C237" t="s">
        <v>242</v>
      </c>
      <c r="D237" t="s">
        <v>243</v>
      </c>
      <c r="E237" t="s">
        <v>52</v>
      </c>
      <c r="F237" t="s">
        <v>53</v>
      </c>
      <c r="G237" t="s">
        <v>100</v>
      </c>
      <c r="H237" t="s">
        <v>101</v>
      </c>
      <c r="I237" t="s">
        <v>26</v>
      </c>
      <c r="J237" t="s">
        <v>69</v>
      </c>
      <c r="K237" t="s">
        <v>145</v>
      </c>
      <c r="L237">
        <v>1</v>
      </c>
      <c r="M237">
        <v>55000</v>
      </c>
      <c r="N237">
        <v>0</v>
      </c>
      <c r="O237">
        <v>55000</v>
      </c>
      <c r="P237">
        <v>6602.51</v>
      </c>
      <c r="Q237">
        <v>151.53</v>
      </c>
      <c r="R237" t="s">
        <v>29</v>
      </c>
    </row>
    <row r="238" spans="1:18" x14ac:dyDescent="0.3">
      <c r="A238" t="s">
        <v>578</v>
      </c>
      <c r="B238" s="4" t="s">
        <v>569</v>
      </c>
      <c r="C238" t="s">
        <v>127</v>
      </c>
      <c r="D238" t="s">
        <v>128</v>
      </c>
      <c r="E238" t="s">
        <v>22</v>
      </c>
      <c r="F238" t="s">
        <v>53</v>
      </c>
      <c r="G238" t="s">
        <v>83</v>
      </c>
      <c r="H238" t="s">
        <v>84</v>
      </c>
      <c r="I238" t="s">
        <v>36</v>
      </c>
      <c r="J238" t="s">
        <v>140</v>
      </c>
      <c r="K238" t="s">
        <v>141</v>
      </c>
      <c r="L238">
        <v>1</v>
      </c>
      <c r="M238">
        <v>2200</v>
      </c>
      <c r="N238">
        <v>0.05</v>
      </c>
      <c r="O238">
        <v>2090</v>
      </c>
      <c r="P238">
        <v>553.77</v>
      </c>
      <c r="Q238">
        <v>431.79</v>
      </c>
      <c r="R238" t="s">
        <v>29</v>
      </c>
    </row>
    <row r="239" spans="1:18" x14ac:dyDescent="0.3">
      <c r="A239" t="s">
        <v>579</v>
      </c>
      <c r="B239" s="4" t="s">
        <v>577</v>
      </c>
      <c r="C239" t="s">
        <v>242</v>
      </c>
      <c r="D239" t="s">
        <v>243</v>
      </c>
      <c r="E239" t="s">
        <v>52</v>
      </c>
      <c r="F239" t="s">
        <v>23</v>
      </c>
      <c r="G239" t="s">
        <v>74</v>
      </c>
      <c r="H239" t="s">
        <v>75</v>
      </c>
      <c r="I239" t="s">
        <v>36</v>
      </c>
      <c r="J239" t="s">
        <v>37</v>
      </c>
      <c r="K239" t="s">
        <v>371</v>
      </c>
      <c r="L239">
        <v>5</v>
      </c>
      <c r="M239">
        <v>4500</v>
      </c>
      <c r="N239">
        <v>0</v>
      </c>
      <c r="O239">
        <v>22500</v>
      </c>
      <c r="P239">
        <v>2047.15</v>
      </c>
      <c r="Q239">
        <v>224.14</v>
      </c>
      <c r="R239" t="s">
        <v>57</v>
      </c>
    </row>
    <row r="240" spans="1:18" x14ac:dyDescent="0.3">
      <c r="A240" t="s">
        <v>580</v>
      </c>
      <c r="B240" s="4" t="s">
        <v>581</v>
      </c>
      <c r="C240" t="s">
        <v>162</v>
      </c>
      <c r="D240" t="s">
        <v>163</v>
      </c>
      <c r="E240" t="s">
        <v>67</v>
      </c>
      <c r="F240" t="s">
        <v>23</v>
      </c>
      <c r="G240" t="s">
        <v>24</v>
      </c>
      <c r="H240" t="s">
        <v>351</v>
      </c>
      <c r="I240" t="s">
        <v>36</v>
      </c>
      <c r="J240" t="s">
        <v>37</v>
      </c>
      <c r="K240" t="s">
        <v>125</v>
      </c>
      <c r="L240">
        <v>1</v>
      </c>
      <c r="M240">
        <v>8500</v>
      </c>
      <c r="N240">
        <v>0</v>
      </c>
      <c r="O240">
        <v>8500</v>
      </c>
      <c r="P240">
        <v>1452.35</v>
      </c>
      <c r="Q240">
        <v>377.84</v>
      </c>
      <c r="R240" t="s">
        <v>39</v>
      </c>
    </row>
    <row r="241" spans="1:18" x14ac:dyDescent="0.3">
      <c r="A241" t="s">
        <v>582</v>
      </c>
      <c r="B241" s="4" t="s">
        <v>583</v>
      </c>
      <c r="C241" t="s">
        <v>134</v>
      </c>
      <c r="D241" t="s">
        <v>135</v>
      </c>
      <c r="E241" t="s">
        <v>52</v>
      </c>
      <c r="F241" t="s">
        <v>53</v>
      </c>
      <c r="G241" t="s">
        <v>100</v>
      </c>
      <c r="H241" t="s">
        <v>101</v>
      </c>
      <c r="I241" t="s">
        <v>26</v>
      </c>
      <c r="J241" t="s">
        <v>27</v>
      </c>
      <c r="K241" t="s">
        <v>56</v>
      </c>
      <c r="L241">
        <v>1</v>
      </c>
      <c r="M241">
        <v>55000</v>
      </c>
      <c r="N241">
        <v>0.15</v>
      </c>
      <c r="O241">
        <v>46750</v>
      </c>
      <c r="P241">
        <v>10253.43</v>
      </c>
      <c r="Q241">
        <v>226.28</v>
      </c>
      <c r="R241" t="s">
        <v>57</v>
      </c>
    </row>
    <row r="242" spans="1:18" x14ac:dyDescent="0.3">
      <c r="A242" t="s">
        <v>584</v>
      </c>
      <c r="B242" s="4" t="s">
        <v>575</v>
      </c>
      <c r="C242" t="s">
        <v>60</v>
      </c>
      <c r="D242" t="s">
        <v>61</v>
      </c>
      <c r="E242" t="s">
        <v>67</v>
      </c>
      <c r="F242" t="s">
        <v>44</v>
      </c>
      <c r="G242" t="s">
        <v>45</v>
      </c>
      <c r="H242" t="s">
        <v>96</v>
      </c>
      <c r="I242" t="s">
        <v>36</v>
      </c>
      <c r="J242" t="s">
        <v>113</v>
      </c>
      <c r="K242" t="s">
        <v>159</v>
      </c>
      <c r="L242">
        <v>1</v>
      </c>
      <c r="M242">
        <v>1500</v>
      </c>
      <c r="N242">
        <v>0.1</v>
      </c>
      <c r="O242">
        <v>1350</v>
      </c>
      <c r="P242">
        <v>123.68</v>
      </c>
      <c r="Q242">
        <v>420.62</v>
      </c>
      <c r="R242" t="s">
        <v>57</v>
      </c>
    </row>
    <row r="243" spans="1:18" x14ac:dyDescent="0.3">
      <c r="A243" t="s">
        <v>585</v>
      </c>
      <c r="B243" s="4" t="s">
        <v>583</v>
      </c>
      <c r="C243" t="s">
        <v>278</v>
      </c>
      <c r="D243" t="s">
        <v>279</v>
      </c>
      <c r="E243" t="s">
        <v>22</v>
      </c>
      <c r="F243" t="s">
        <v>44</v>
      </c>
      <c r="G243" t="s">
        <v>216</v>
      </c>
      <c r="H243" t="s">
        <v>316</v>
      </c>
      <c r="I243" t="s">
        <v>36</v>
      </c>
      <c r="J243" t="s">
        <v>113</v>
      </c>
      <c r="K243" t="s">
        <v>220</v>
      </c>
      <c r="L243">
        <v>1</v>
      </c>
      <c r="M243">
        <v>1800</v>
      </c>
      <c r="N243">
        <v>0</v>
      </c>
      <c r="O243">
        <v>1800</v>
      </c>
      <c r="P243">
        <v>260.02999999999997</v>
      </c>
      <c r="Q243">
        <v>72.349999999999994</v>
      </c>
      <c r="R243" t="s">
        <v>39</v>
      </c>
    </row>
    <row r="244" spans="1:18" x14ac:dyDescent="0.3">
      <c r="A244" t="s">
        <v>586</v>
      </c>
      <c r="B244" s="4" t="s">
        <v>587</v>
      </c>
      <c r="C244" t="s">
        <v>242</v>
      </c>
      <c r="D244" t="s">
        <v>243</v>
      </c>
      <c r="E244" t="s">
        <v>67</v>
      </c>
      <c r="F244" t="s">
        <v>53</v>
      </c>
      <c r="G244" t="s">
        <v>83</v>
      </c>
      <c r="H244" t="s">
        <v>84</v>
      </c>
      <c r="I244" t="s">
        <v>36</v>
      </c>
      <c r="J244" t="s">
        <v>140</v>
      </c>
      <c r="K244" t="s">
        <v>404</v>
      </c>
      <c r="L244">
        <v>2</v>
      </c>
      <c r="M244">
        <v>3200</v>
      </c>
      <c r="N244">
        <v>0.1</v>
      </c>
      <c r="O244">
        <v>5760</v>
      </c>
      <c r="P244">
        <v>1220.6199999999999</v>
      </c>
      <c r="Q244">
        <v>172.24</v>
      </c>
      <c r="R244" t="s">
        <v>29</v>
      </c>
    </row>
    <row r="245" spans="1:18" x14ac:dyDescent="0.3">
      <c r="A245" t="s">
        <v>588</v>
      </c>
      <c r="B245" s="4" t="s">
        <v>583</v>
      </c>
      <c r="C245" t="s">
        <v>104</v>
      </c>
      <c r="D245" t="s">
        <v>105</v>
      </c>
      <c r="E245" t="s">
        <v>67</v>
      </c>
      <c r="F245" t="s">
        <v>44</v>
      </c>
      <c r="G245" t="s">
        <v>192</v>
      </c>
      <c r="H245" t="s">
        <v>193</v>
      </c>
      <c r="I245" t="s">
        <v>36</v>
      </c>
      <c r="J245" t="s">
        <v>37</v>
      </c>
      <c r="K245" t="s">
        <v>38</v>
      </c>
      <c r="L245">
        <v>4</v>
      </c>
      <c r="M245">
        <v>6000</v>
      </c>
      <c r="N245">
        <v>0.15</v>
      </c>
      <c r="O245">
        <v>20400</v>
      </c>
      <c r="P245">
        <v>2311.0300000000002</v>
      </c>
      <c r="Q245">
        <v>387.67</v>
      </c>
      <c r="R245" t="s">
        <v>64</v>
      </c>
    </row>
    <row r="246" spans="1:18" x14ac:dyDescent="0.3">
      <c r="A246" t="s">
        <v>589</v>
      </c>
      <c r="B246" s="4" t="s">
        <v>587</v>
      </c>
      <c r="C246" t="s">
        <v>78</v>
      </c>
      <c r="D246" t="s">
        <v>79</v>
      </c>
      <c r="E246" t="s">
        <v>52</v>
      </c>
      <c r="F246" t="s">
        <v>23</v>
      </c>
      <c r="G246" t="s">
        <v>74</v>
      </c>
      <c r="H246" t="s">
        <v>152</v>
      </c>
      <c r="I246" t="s">
        <v>36</v>
      </c>
      <c r="J246" t="s">
        <v>37</v>
      </c>
      <c r="K246" t="s">
        <v>371</v>
      </c>
      <c r="L246">
        <v>4</v>
      </c>
      <c r="M246">
        <v>4500</v>
      </c>
      <c r="N246">
        <v>0.15</v>
      </c>
      <c r="O246">
        <v>15300</v>
      </c>
      <c r="P246">
        <v>2497.4299999999998</v>
      </c>
      <c r="Q246">
        <v>309.48</v>
      </c>
      <c r="R246" t="s">
        <v>29</v>
      </c>
    </row>
    <row r="247" spans="1:18" x14ac:dyDescent="0.3">
      <c r="A247" t="s">
        <v>590</v>
      </c>
      <c r="B247" s="4" t="s">
        <v>591</v>
      </c>
      <c r="C247" t="s">
        <v>206</v>
      </c>
      <c r="D247" t="s">
        <v>207</v>
      </c>
      <c r="E247" t="s">
        <v>52</v>
      </c>
      <c r="F247" t="s">
        <v>53</v>
      </c>
      <c r="G247" t="s">
        <v>100</v>
      </c>
      <c r="H247" t="s">
        <v>101</v>
      </c>
      <c r="I247" t="s">
        <v>36</v>
      </c>
      <c r="J247" t="s">
        <v>140</v>
      </c>
      <c r="K247" t="s">
        <v>337</v>
      </c>
      <c r="L247">
        <v>4</v>
      </c>
      <c r="M247">
        <v>5500</v>
      </c>
      <c r="N247">
        <v>0.15</v>
      </c>
      <c r="O247">
        <v>18700</v>
      </c>
      <c r="P247">
        <v>4901.66</v>
      </c>
      <c r="Q247">
        <v>140.41999999999999</v>
      </c>
      <c r="R247" t="s">
        <v>57</v>
      </c>
    </row>
    <row r="248" spans="1:18" x14ac:dyDescent="0.3">
      <c r="A248" t="s">
        <v>592</v>
      </c>
      <c r="B248" s="4" t="s">
        <v>571</v>
      </c>
      <c r="C248" t="s">
        <v>242</v>
      </c>
      <c r="D248" t="s">
        <v>243</v>
      </c>
      <c r="E248" t="s">
        <v>52</v>
      </c>
      <c r="F248" t="s">
        <v>106</v>
      </c>
      <c r="G248" t="s">
        <v>149</v>
      </c>
      <c r="H248" t="s">
        <v>180</v>
      </c>
      <c r="I248" t="s">
        <v>47</v>
      </c>
      <c r="J248" t="s">
        <v>119</v>
      </c>
      <c r="K248" t="s">
        <v>120</v>
      </c>
      <c r="L248">
        <v>1</v>
      </c>
      <c r="M248">
        <v>1800</v>
      </c>
      <c r="N248">
        <v>0</v>
      </c>
      <c r="O248">
        <v>1800</v>
      </c>
      <c r="P248">
        <v>287.43</v>
      </c>
      <c r="Q248">
        <v>335.05</v>
      </c>
      <c r="R248" t="s">
        <v>39</v>
      </c>
    </row>
    <row r="249" spans="1:18" x14ac:dyDescent="0.3">
      <c r="A249" t="s">
        <v>593</v>
      </c>
      <c r="B249" s="4" t="s">
        <v>594</v>
      </c>
      <c r="C249" t="s">
        <v>78</v>
      </c>
      <c r="D249" t="s">
        <v>79</v>
      </c>
      <c r="E249" t="s">
        <v>52</v>
      </c>
      <c r="F249" t="s">
        <v>106</v>
      </c>
      <c r="G249" t="s">
        <v>306</v>
      </c>
      <c r="H249" t="s">
        <v>307</v>
      </c>
      <c r="I249" t="s">
        <v>36</v>
      </c>
      <c r="J249" t="s">
        <v>37</v>
      </c>
      <c r="K249" t="s">
        <v>38</v>
      </c>
      <c r="L249">
        <v>1</v>
      </c>
      <c r="M249">
        <v>6000</v>
      </c>
      <c r="N249">
        <v>0.15</v>
      </c>
      <c r="O249">
        <v>5100</v>
      </c>
      <c r="P249">
        <v>778.73</v>
      </c>
      <c r="Q249">
        <v>190.85</v>
      </c>
      <c r="R249" t="s">
        <v>64</v>
      </c>
    </row>
    <row r="250" spans="1:18" x14ac:dyDescent="0.3">
      <c r="A250" t="s">
        <v>595</v>
      </c>
      <c r="B250" s="4" t="s">
        <v>596</v>
      </c>
      <c r="C250" t="s">
        <v>178</v>
      </c>
      <c r="D250" t="s">
        <v>179</v>
      </c>
      <c r="E250" t="s">
        <v>22</v>
      </c>
      <c r="F250" t="s">
        <v>53</v>
      </c>
      <c r="G250" t="s">
        <v>100</v>
      </c>
      <c r="H250" t="s">
        <v>213</v>
      </c>
      <c r="I250" t="s">
        <v>47</v>
      </c>
      <c r="J250" t="s">
        <v>85</v>
      </c>
      <c r="K250" t="s">
        <v>102</v>
      </c>
      <c r="L250">
        <v>2</v>
      </c>
      <c r="M250">
        <v>3200</v>
      </c>
      <c r="N250">
        <v>0.05</v>
      </c>
      <c r="O250">
        <v>6080</v>
      </c>
      <c r="P250">
        <v>1019.16</v>
      </c>
      <c r="Q250">
        <v>169.12</v>
      </c>
      <c r="R250" t="s">
        <v>39</v>
      </c>
    </row>
    <row r="251" spans="1:18" x14ac:dyDescent="0.3">
      <c r="A251" t="s">
        <v>597</v>
      </c>
      <c r="B251" s="4" t="s">
        <v>581</v>
      </c>
      <c r="C251" t="s">
        <v>166</v>
      </c>
      <c r="D251" t="s">
        <v>167</v>
      </c>
      <c r="E251" t="s">
        <v>22</v>
      </c>
      <c r="F251" t="s">
        <v>53</v>
      </c>
      <c r="G251" t="s">
        <v>54</v>
      </c>
      <c r="H251" t="s">
        <v>55</v>
      </c>
      <c r="I251" t="s">
        <v>36</v>
      </c>
      <c r="J251" t="s">
        <v>140</v>
      </c>
      <c r="K251" t="s">
        <v>287</v>
      </c>
      <c r="L251">
        <v>3</v>
      </c>
      <c r="M251">
        <v>4000</v>
      </c>
      <c r="N251">
        <v>0</v>
      </c>
      <c r="O251">
        <v>12000</v>
      </c>
      <c r="P251">
        <v>1567.16</v>
      </c>
      <c r="Q251">
        <v>468.3</v>
      </c>
      <c r="R251" t="s">
        <v>64</v>
      </c>
    </row>
    <row r="252" spans="1:18" x14ac:dyDescent="0.3">
      <c r="A252" t="s">
        <v>598</v>
      </c>
      <c r="B252" s="4" t="s">
        <v>599</v>
      </c>
      <c r="C252" t="s">
        <v>20</v>
      </c>
      <c r="D252" t="s">
        <v>21</v>
      </c>
      <c r="E252" t="s">
        <v>52</v>
      </c>
      <c r="F252" t="s">
        <v>23</v>
      </c>
      <c r="G252" t="s">
        <v>34</v>
      </c>
      <c r="H252" t="s">
        <v>35</v>
      </c>
      <c r="I252" t="s">
        <v>36</v>
      </c>
      <c r="J252" t="s">
        <v>113</v>
      </c>
      <c r="K252" t="s">
        <v>246</v>
      </c>
      <c r="L252">
        <v>5</v>
      </c>
      <c r="M252">
        <v>1200</v>
      </c>
      <c r="N252">
        <v>0.05</v>
      </c>
      <c r="O252">
        <v>5700</v>
      </c>
      <c r="P252">
        <v>719.1</v>
      </c>
      <c r="Q252">
        <v>165.93</v>
      </c>
      <c r="R252" t="s">
        <v>64</v>
      </c>
    </row>
    <row r="253" spans="1:18" x14ac:dyDescent="0.3">
      <c r="A253" t="s">
        <v>600</v>
      </c>
      <c r="B253" s="4" t="s">
        <v>569</v>
      </c>
      <c r="C253" t="s">
        <v>185</v>
      </c>
      <c r="D253" t="s">
        <v>186</v>
      </c>
      <c r="E253" t="s">
        <v>67</v>
      </c>
      <c r="F253" t="s">
        <v>106</v>
      </c>
      <c r="G253" t="s">
        <v>107</v>
      </c>
      <c r="H253" t="s">
        <v>108</v>
      </c>
      <c r="I253" t="s">
        <v>47</v>
      </c>
      <c r="J253" t="s">
        <v>119</v>
      </c>
      <c r="K253" t="s">
        <v>254</v>
      </c>
      <c r="L253">
        <v>3</v>
      </c>
      <c r="M253">
        <v>1200</v>
      </c>
      <c r="N253">
        <v>0.1</v>
      </c>
      <c r="O253">
        <v>3240</v>
      </c>
      <c r="P253">
        <v>533.66</v>
      </c>
      <c r="Q253">
        <v>345.18</v>
      </c>
      <c r="R253" t="s">
        <v>64</v>
      </c>
    </row>
    <row r="254" spans="1:18" x14ac:dyDescent="0.3">
      <c r="A254" t="s">
        <v>601</v>
      </c>
      <c r="B254" s="4" t="s">
        <v>602</v>
      </c>
      <c r="C254" t="s">
        <v>147</v>
      </c>
      <c r="D254" t="s">
        <v>148</v>
      </c>
      <c r="E254" t="s">
        <v>67</v>
      </c>
      <c r="F254" t="s">
        <v>23</v>
      </c>
      <c r="G254" t="s">
        <v>34</v>
      </c>
      <c r="H254" t="s">
        <v>239</v>
      </c>
      <c r="I254" t="s">
        <v>47</v>
      </c>
      <c r="J254" t="s">
        <v>85</v>
      </c>
      <c r="K254" t="s">
        <v>102</v>
      </c>
      <c r="L254">
        <v>4</v>
      </c>
      <c r="M254">
        <v>3200</v>
      </c>
      <c r="N254">
        <v>0</v>
      </c>
      <c r="O254">
        <v>12800</v>
      </c>
      <c r="P254">
        <v>2109.42</v>
      </c>
      <c r="Q254">
        <v>184.13</v>
      </c>
      <c r="R254" t="s">
        <v>29</v>
      </c>
    </row>
    <row r="255" spans="1:18" x14ac:dyDescent="0.3">
      <c r="A255" t="s">
        <v>603</v>
      </c>
      <c r="B255" s="4" t="s">
        <v>604</v>
      </c>
      <c r="C255" t="s">
        <v>162</v>
      </c>
      <c r="D255" t="s">
        <v>163</v>
      </c>
      <c r="E255" t="s">
        <v>52</v>
      </c>
      <c r="F255" t="s">
        <v>23</v>
      </c>
      <c r="G255" t="s">
        <v>34</v>
      </c>
      <c r="H255" t="s">
        <v>239</v>
      </c>
      <c r="I255" t="s">
        <v>36</v>
      </c>
      <c r="J255" t="s">
        <v>140</v>
      </c>
      <c r="K255" t="s">
        <v>168</v>
      </c>
      <c r="L255">
        <v>1</v>
      </c>
      <c r="M255">
        <v>1800</v>
      </c>
      <c r="N255">
        <v>0.1</v>
      </c>
      <c r="O255">
        <v>1620</v>
      </c>
      <c r="P255">
        <v>254.99</v>
      </c>
      <c r="Q255">
        <v>328.07</v>
      </c>
      <c r="R255" t="s">
        <v>64</v>
      </c>
    </row>
    <row r="256" spans="1:18" x14ac:dyDescent="0.3">
      <c r="A256" t="s">
        <v>605</v>
      </c>
      <c r="B256" s="4" t="s">
        <v>602</v>
      </c>
      <c r="C256" t="s">
        <v>147</v>
      </c>
      <c r="D256" t="s">
        <v>148</v>
      </c>
      <c r="E256" t="s">
        <v>67</v>
      </c>
      <c r="F256" t="s">
        <v>23</v>
      </c>
      <c r="G256" t="s">
        <v>24</v>
      </c>
      <c r="H256" t="s">
        <v>68</v>
      </c>
      <c r="I256" t="s">
        <v>47</v>
      </c>
      <c r="J256" t="s">
        <v>48</v>
      </c>
      <c r="K256" t="s">
        <v>407</v>
      </c>
      <c r="L256">
        <v>5</v>
      </c>
      <c r="M256">
        <v>1200</v>
      </c>
      <c r="N256">
        <v>0</v>
      </c>
      <c r="O256">
        <v>6000</v>
      </c>
      <c r="P256">
        <v>1056.22</v>
      </c>
      <c r="Q256">
        <v>359.28</v>
      </c>
      <c r="R256" t="s">
        <v>39</v>
      </c>
    </row>
    <row r="257" spans="1:18" x14ac:dyDescent="0.3">
      <c r="A257" t="s">
        <v>606</v>
      </c>
      <c r="B257" s="4" t="s">
        <v>604</v>
      </c>
      <c r="C257" t="s">
        <v>104</v>
      </c>
      <c r="D257" t="s">
        <v>105</v>
      </c>
      <c r="E257" t="s">
        <v>67</v>
      </c>
      <c r="F257" t="s">
        <v>53</v>
      </c>
      <c r="G257" t="s">
        <v>83</v>
      </c>
      <c r="H257" t="s">
        <v>84</v>
      </c>
      <c r="I257" t="s">
        <v>47</v>
      </c>
      <c r="J257" t="s">
        <v>119</v>
      </c>
      <c r="K257" t="s">
        <v>254</v>
      </c>
      <c r="L257">
        <v>4</v>
      </c>
      <c r="M257">
        <v>1200</v>
      </c>
      <c r="N257">
        <v>0.1</v>
      </c>
      <c r="O257">
        <v>4320</v>
      </c>
      <c r="P257">
        <v>738.91</v>
      </c>
      <c r="Q257">
        <v>239.33</v>
      </c>
      <c r="R257" t="s">
        <v>39</v>
      </c>
    </row>
    <row r="258" spans="1:18" x14ac:dyDescent="0.3">
      <c r="A258" t="s">
        <v>607</v>
      </c>
      <c r="B258" s="4" t="s">
        <v>608</v>
      </c>
      <c r="C258" t="s">
        <v>60</v>
      </c>
      <c r="D258" t="s">
        <v>61</v>
      </c>
      <c r="E258" t="s">
        <v>67</v>
      </c>
      <c r="F258" t="s">
        <v>106</v>
      </c>
      <c r="G258" t="s">
        <v>107</v>
      </c>
      <c r="H258" t="s">
        <v>108</v>
      </c>
      <c r="I258" t="s">
        <v>36</v>
      </c>
      <c r="J258" t="s">
        <v>140</v>
      </c>
      <c r="K258" t="s">
        <v>337</v>
      </c>
      <c r="L258">
        <v>4</v>
      </c>
      <c r="M258">
        <v>5500</v>
      </c>
      <c r="N258">
        <v>0</v>
      </c>
      <c r="O258">
        <v>22000</v>
      </c>
      <c r="P258">
        <v>5758.01</v>
      </c>
      <c r="Q258">
        <v>220.82</v>
      </c>
      <c r="R258" t="s">
        <v>39</v>
      </c>
    </row>
    <row r="259" spans="1:18" x14ac:dyDescent="0.3">
      <c r="A259" t="s">
        <v>609</v>
      </c>
      <c r="B259" s="4" t="s">
        <v>610</v>
      </c>
      <c r="C259" t="s">
        <v>211</v>
      </c>
      <c r="D259" t="s">
        <v>212</v>
      </c>
      <c r="E259" t="s">
        <v>67</v>
      </c>
      <c r="F259" t="s">
        <v>106</v>
      </c>
      <c r="G259" t="s">
        <v>149</v>
      </c>
      <c r="H259" t="s">
        <v>234</v>
      </c>
      <c r="I259" t="s">
        <v>36</v>
      </c>
      <c r="J259" t="s">
        <v>140</v>
      </c>
      <c r="K259" t="s">
        <v>337</v>
      </c>
      <c r="L259">
        <v>5</v>
      </c>
      <c r="M259">
        <v>5500</v>
      </c>
      <c r="N259">
        <v>0.1</v>
      </c>
      <c r="O259">
        <v>24750</v>
      </c>
      <c r="P259">
        <v>4934.63</v>
      </c>
      <c r="Q259">
        <v>51.72</v>
      </c>
      <c r="R259" t="s">
        <v>64</v>
      </c>
    </row>
    <row r="260" spans="1:18" x14ac:dyDescent="0.3">
      <c r="A260" t="s">
        <v>611</v>
      </c>
      <c r="B260" s="4" t="s">
        <v>612</v>
      </c>
      <c r="C260" t="s">
        <v>134</v>
      </c>
      <c r="D260" t="s">
        <v>135</v>
      </c>
      <c r="E260" t="s">
        <v>52</v>
      </c>
      <c r="F260" t="s">
        <v>23</v>
      </c>
      <c r="G260" t="s">
        <v>24</v>
      </c>
      <c r="H260" t="s">
        <v>68</v>
      </c>
      <c r="I260" t="s">
        <v>36</v>
      </c>
      <c r="J260" t="s">
        <v>113</v>
      </c>
      <c r="K260" t="s">
        <v>246</v>
      </c>
      <c r="L260">
        <v>3</v>
      </c>
      <c r="M260">
        <v>1200</v>
      </c>
      <c r="N260">
        <v>0.2</v>
      </c>
      <c r="O260">
        <v>2880</v>
      </c>
      <c r="P260">
        <v>764.18</v>
      </c>
      <c r="Q260">
        <v>409.96</v>
      </c>
      <c r="R260" t="s">
        <v>57</v>
      </c>
    </row>
    <row r="261" spans="1:18" x14ac:dyDescent="0.3">
      <c r="A261" t="s">
        <v>613</v>
      </c>
      <c r="B261" s="4" t="s">
        <v>614</v>
      </c>
      <c r="C261" t="s">
        <v>72</v>
      </c>
      <c r="D261" t="s">
        <v>73</v>
      </c>
      <c r="E261" t="s">
        <v>22</v>
      </c>
      <c r="F261" t="s">
        <v>44</v>
      </c>
      <c r="G261" t="s">
        <v>192</v>
      </c>
      <c r="H261" t="s">
        <v>271</v>
      </c>
      <c r="I261" t="s">
        <v>36</v>
      </c>
      <c r="J261" t="s">
        <v>113</v>
      </c>
      <c r="K261" t="s">
        <v>246</v>
      </c>
      <c r="L261">
        <v>4</v>
      </c>
      <c r="M261">
        <v>1200</v>
      </c>
      <c r="N261">
        <v>0.2</v>
      </c>
      <c r="O261">
        <v>3840</v>
      </c>
      <c r="P261">
        <v>845.21</v>
      </c>
      <c r="Q261">
        <v>499.5</v>
      </c>
      <c r="R261" t="s">
        <v>64</v>
      </c>
    </row>
    <row r="262" spans="1:18" x14ac:dyDescent="0.3">
      <c r="A262" t="s">
        <v>615</v>
      </c>
      <c r="B262" s="4" t="s">
        <v>604</v>
      </c>
      <c r="C262" t="s">
        <v>42</v>
      </c>
      <c r="D262" t="s">
        <v>43</v>
      </c>
      <c r="E262" t="s">
        <v>52</v>
      </c>
      <c r="F262" t="s">
        <v>23</v>
      </c>
      <c r="G262" t="s">
        <v>34</v>
      </c>
      <c r="H262" t="s">
        <v>35</v>
      </c>
      <c r="I262" t="s">
        <v>36</v>
      </c>
      <c r="J262" t="s">
        <v>113</v>
      </c>
      <c r="K262" t="s">
        <v>159</v>
      </c>
      <c r="L262">
        <v>1</v>
      </c>
      <c r="M262">
        <v>1500</v>
      </c>
      <c r="N262">
        <v>0</v>
      </c>
      <c r="O262">
        <v>1500</v>
      </c>
      <c r="P262">
        <v>339.67</v>
      </c>
      <c r="Q262">
        <v>347.38</v>
      </c>
      <c r="R262" t="s">
        <v>57</v>
      </c>
    </row>
    <row r="263" spans="1:18" x14ac:dyDescent="0.3">
      <c r="A263" t="s">
        <v>616</v>
      </c>
      <c r="B263" s="4" t="s">
        <v>617</v>
      </c>
      <c r="C263" t="s">
        <v>127</v>
      </c>
      <c r="D263" t="s">
        <v>128</v>
      </c>
      <c r="E263" t="s">
        <v>22</v>
      </c>
      <c r="F263" t="s">
        <v>23</v>
      </c>
      <c r="G263" t="s">
        <v>24</v>
      </c>
      <c r="H263" t="s">
        <v>351</v>
      </c>
      <c r="I263" t="s">
        <v>47</v>
      </c>
      <c r="J263" t="s">
        <v>48</v>
      </c>
      <c r="K263" t="s">
        <v>97</v>
      </c>
      <c r="L263">
        <v>3</v>
      </c>
      <c r="M263">
        <v>1500</v>
      </c>
      <c r="N263">
        <v>0</v>
      </c>
      <c r="O263">
        <v>4500</v>
      </c>
      <c r="P263">
        <v>648.27</v>
      </c>
      <c r="Q263">
        <v>126.49</v>
      </c>
      <c r="R263" t="s">
        <v>29</v>
      </c>
    </row>
    <row r="264" spans="1:18" x14ac:dyDescent="0.3">
      <c r="A264" t="s">
        <v>618</v>
      </c>
      <c r="B264" s="4" t="s">
        <v>608</v>
      </c>
      <c r="C264" t="s">
        <v>89</v>
      </c>
      <c r="D264" t="s">
        <v>90</v>
      </c>
      <c r="E264" t="s">
        <v>52</v>
      </c>
      <c r="F264" t="s">
        <v>106</v>
      </c>
      <c r="G264" t="s">
        <v>149</v>
      </c>
      <c r="H264" t="s">
        <v>234</v>
      </c>
      <c r="I264" t="s">
        <v>26</v>
      </c>
      <c r="J264" t="s">
        <v>91</v>
      </c>
      <c r="K264" t="s">
        <v>92</v>
      </c>
      <c r="L264">
        <v>3</v>
      </c>
      <c r="M264">
        <v>1200</v>
      </c>
      <c r="N264">
        <v>0</v>
      </c>
      <c r="O264">
        <v>3600</v>
      </c>
      <c r="P264">
        <v>650.09</v>
      </c>
      <c r="Q264">
        <v>199.43</v>
      </c>
      <c r="R264" t="s">
        <v>57</v>
      </c>
    </row>
    <row r="265" spans="1:18" x14ac:dyDescent="0.3">
      <c r="A265" t="s">
        <v>619</v>
      </c>
      <c r="B265" s="4" t="s">
        <v>620</v>
      </c>
      <c r="C265" t="s">
        <v>122</v>
      </c>
      <c r="D265" t="s">
        <v>123</v>
      </c>
      <c r="E265" t="s">
        <v>67</v>
      </c>
      <c r="F265" t="s">
        <v>106</v>
      </c>
      <c r="G265" t="s">
        <v>306</v>
      </c>
      <c r="H265" t="s">
        <v>366</v>
      </c>
      <c r="I265" t="s">
        <v>26</v>
      </c>
      <c r="J265" t="s">
        <v>91</v>
      </c>
      <c r="K265" t="s">
        <v>92</v>
      </c>
      <c r="L265">
        <v>1</v>
      </c>
      <c r="M265">
        <v>1200</v>
      </c>
      <c r="N265">
        <v>0.2</v>
      </c>
      <c r="O265">
        <v>960</v>
      </c>
      <c r="P265">
        <v>250.1</v>
      </c>
      <c r="Q265">
        <v>336.95</v>
      </c>
      <c r="R265" t="s">
        <v>57</v>
      </c>
    </row>
    <row r="266" spans="1:18" x14ac:dyDescent="0.3">
      <c r="A266" t="s">
        <v>621</v>
      </c>
      <c r="B266" s="4" t="s">
        <v>622</v>
      </c>
      <c r="C266" t="s">
        <v>117</v>
      </c>
      <c r="D266" t="s">
        <v>118</v>
      </c>
      <c r="E266" t="s">
        <v>67</v>
      </c>
      <c r="F266" t="s">
        <v>53</v>
      </c>
      <c r="G266" t="s">
        <v>83</v>
      </c>
      <c r="H266" t="s">
        <v>129</v>
      </c>
      <c r="I266" t="s">
        <v>36</v>
      </c>
      <c r="J266" t="s">
        <v>140</v>
      </c>
      <c r="K266" t="s">
        <v>287</v>
      </c>
      <c r="L266">
        <v>2</v>
      </c>
      <c r="M266">
        <v>4000</v>
      </c>
      <c r="N266">
        <v>0.1</v>
      </c>
      <c r="O266">
        <v>7200</v>
      </c>
      <c r="P266">
        <v>1044.5</v>
      </c>
      <c r="Q266">
        <v>238.34</v>
      </c>
      <c r="R266" t="s">
        <v>39</v>
      </c>
    </row>
    <row r="267" spans="1:18" x14ac:dyDescent="0.3">
      <c r="A267" t="s">
        <v>623</v>
      </c>
      <c r="B267" s="4" t="s">
        <v>624</v>
      </c>
      <c r="C267" t="s">
        <v>211</v>
      </c>
      <c r="D267" t="s">
        <v>212</v>
      </c>
      <c r="E267" t="s">
        <v>52</v>
      </c>
      <c r="F267" t="s">
        <v>53</v>
      </c>
      <c r="G267" t="s">
        <v>83</v>
      </c>
      <c r="H267" t="s">
        <v>84</v>
      </c>
      <c r="I267" t="s">
        <v>26</v>
      </c>
      <c r="J267" t="s">
        <v>91</v>
      </c>
      <c r="K267" t="s">
        <v>199</v>
      </c>
      <c r="L267">
        <v>4</v>
      </c>
      <c r="M267">
        <v>3500</v>
      </c>
      <c r="N267">
        <v>0.1</v>
      </c>
      <c r="O267">
        <v>12600</v>
      </c>
      <c r="P267">
        <v>2227.46</v>
      </c>
      <c r="Q267">
        <v>412.63</v>
      </c>
      <c r="R267" t="s">
        <v>57</v>
      </c>
    </row>
    <row r="268" spans="1:18" x14ac:dyDescent="0.3">
      <c r="A268" t="s">
        <v>625</v>
      </c>
      <c r="B268" s="4" t="s">
        <v>626</v>
      </c>
      <c r="C268" t="s">
        <v>211</v>
      </c>
      <c r="D268" t="s">
        <v>212</v>
      </c>
      <c r="E268" t="s">
        <v>52</v>
      </c>
      <c r="F268" t="s">
        <v>53</v>
      </c>
      <c r="G268" t="s">
        <v>83</v>
      </c>
      <c r="H268" t="s">
        <v>251</v>
      </c>
      <c r="I268" t="s">
        <v>26</v>
      </c>
      <c r="J268" t="s">
        <v>27</v>
      </c>
      <c r="K268" t="s">
        <v>358</v>
      </c>
      <c r="L268">
        <v>2</v>
      </c>
      <c r="M268">
        <v>22000</v>
      </c>
      <c r="N268">
        <v>0</v>
      </c>
      <c r="O268">
        <v>44000</v>
      </c>
      <c r="P268">
        <v>5940.37</v>
      </c>
      <c r="Q268">
        <v>168</v>
      </c>
      <c r="R268" t="s">
        <v>57</v>
      </c>
    </row>
    <row r="269" spans="1:18" x14ac:dyDescent="0.3">
      <c r="A269" t="s">
        <v>627</v>
      </c>
      <c r="B269" s="4" t="s">
        <v>628</v>
      </c>
      <c r="C269" t="s">
        <v>206</v>
      </c>
      <c r="D269" t="s">
        <v>207</v>
      </c>
      <c r="E269" t="s">
        <v>52</v>
      </c>
      <c r="F269" t="s">
        <v>53</v>
      </c>
      <c r="G269" t="s">
        <v>83</v>
      </c>
      <c r="H269" t="s">
        <v>251</v>
      </c>
      <c r="I269" t="s">
        <v>47</v>
      </c>
      <c r="J269" t="s">
        <v>119</v>
      </c>
      <c r="K269" t="s">
        <v>310</v>
      </c>
      <c r="L269">
        <v>5</v>
      </c>
      <c r="M269">
        <v>1500</v>
      </c>
      <c r="N269">
        <v>0</v>
      </c>
      <c r="O269">
        <v>7500</v>
      </c>
      <c r="P269">
        <v>1900.05</v>
      </c>
      <c r="Q269">
        <v>456.49</v>
      </c>
      <c r="R269" t="s">
        <v>29</v>
      </c>
    </row>
    <row r="270" spans="1:18" x14ac:dyDescent="0.3">
      <c r="A270" t="s">
        <v>629</v>
      </c>
      <c r="B270" s="4" t="s">
        <v>612</v>
      </c>
      <c r="C270" t="s">
        <v>127</v>
      </c>
      <c r="D270" t="s">
        <v>128</v>
      </c>
      <c r="E270" t="s">
        <v>52</v>
      </c>
      <c r="F270" t="s">
        <v>44</v>
      </c>
      <c r="G270" t="s">
        <v>192</v>
      </c>
      <c r="H270" t="s">
        <v>271</v>
      </c>
      <c r="I270" t="s">
        <v>47</v>
      </c>
      <c r="J270" t="s">
        <v>119</v>
      </c>
      <c r="K270" t="s">
        <v>310</v>
      </c>
      <c r="L270">
        <v>1</v>
      </c>
      <c r="M270">
        <v>1500</v>
      </c>
      <c r="N270">
        <v>0</v>
      </c>
      <c r="O270">
        <v>1500</v>
      </c>
      <c r="P270">
        <v>307.62</v>
      </c>
      <c r="Q270">
        <v>148.57</v>
      </c>
      <c r="R270" t="s">
        <v>64</v>
      </c>
    </row>
    <row r="271" spans="1:18" x14ac:dyDescent="0.3">
      <c r="A271" t="s">
        <v>630</v>
      </c>
      <c r="B271" s="4" t="s">
        <v>631</v>
      </c>
      <c r="C271" t="s">
        <v>20</v>
      </c>
      <c r="D271" t="s">
        <v>21</v>
      </c>
      <c r="E271" t="s">
        <v>22</v>
      </c>
      <c r="F271" t="s">
        <v>53</v>
      </c>
      <c r="G271" t="s">
        <v>54</v>
      </c>
      <c r="H271" t="s">
        <v>55</v>
      </c>
      <c r="I271" t="s">
        <v>26</v>
      </c>
      <c r="J271" t="s">
        <v>69</v>
      </c>
      <c r="K271" t="s">
        <v>131</v>
      </c>
      <c r="L271">
        <v>3</v>
      </c>
      <c r="M271">
        <v>115000</v>
      </c>
      <c r="N271">
        <v>0</v>
      </c>
      <c r="O271">
        <v>345000</v>
      </c>
      <c r="P271">
        <v>54591</v>
      </c>
      <c r="Q271">
        <v>376.34</v>
      </c>
      <c r="R271" t="s">
        <v>57</v>
      </c>
    </row>
    <row r="272" spans="1:18" x14ac:dyDescent="0.3">
      <c r="A272" t="s">
        <v>632</v>
      </c>
      <c r="B272" s="4" t="s">
        <v>602</v>
      </c>
      <c r="C272" t="s">
        <v>104</v>
      </c>
      <c r="D272" t="s">
        <v>105</v>
      </c>
      <c r="E272" t="s">
        <v>67</v>
      </c>
      <c r="F272" t="s">
        <v>44</v>
      </c>
      <c r="G272" t="s">
        <v>192</v>
      </c>
      <c r="H272" t="s">
        <v>271</v>
      </c>
      <c r="I272" t="s">
        <v>36</v>
      </c>
      <c r="J272" t="s">
        <v>37</v>
      </c>
      <c r="K272" t="s">
        <v>371</v>
      </c>
      <c r="L272">
        <v>4</v>
      </c>
      <c r="M272">
        <v>4500</v>
      </c>
      <c r="N272">
        <v>0</v>
      </c>
      <c r="O272">
        <v>18000</v>
      </c>
      <c r="P272">
        <v>2317.84</v>
      </c>
      <c r="Q272">
        <v>135.18</v>
      </c>
      <c r="R272" t="s">
        <v>39</v>
      </c>
    </row>
    <row r="273" spans="1:18" x14ac:dyDescent="0.3">
      <c r="A273" t="s">
        <v>633</v>
      </c>
      <c r="B273" s="4" t="s">
        <v>620</v>
      </c>
      <c r="C273" t="s">
        <v>60</v>
      </c>
      <c r="D273" t="s">
        <v>61</v>
      </c>
      <c r="E273" t="s">
        <v>52</v>
      </c>
      <c r="F273" t="s">
        <v>44</v>
      </c>
      <c r="G273" t="s">
        <v>192</v>
      </c>
      <c r="H273" t="s">
        <v>271</v>
      </c>
      <c r="I273" t="s">
        <v>36</v>
      </c>
      <c r="J273" t="s">
        <v>37</v>
      </c>
      <c r="K273" t="s">
        <v>38</v>
      </c>
      <c r="L273">
        <v>4</v>
      </c>
      <c r="M273">
        <v>6000</v>
      </c>
      <c r="N273">
        <v>0.2</v>
      </c>
      <c r="O273">
        <v>19200</v>
      </c>
      <c r="P273">
        <v>4298.45</v>
      </c>
      <c r="Q273">
        <v>465.49</v>
      </c>
      <c r="R273" t="s">
        <v>64</v>
      </c>
    </row>
    <row r="274" spans="1:18" x14ac:dyDescent="0.3">
      <c r="A274" t="s">
        <v>634</v>
      </c>
      <c r="B274" s="4" t="s">
        <v>602</v>
      </c>
      <c r="C274" t="s">
        <v>104</v>
      </c>
      <c r="D274" t="s">
        <v>105</v>
      </c>
      <c r="E274" t="s">
        <v>52</v>
      </c>
      <c r="F274" t="s">
        <v>106</v>
      </c>
      <c r="G274" t="s">
        <v>306</v>
      </c>
      <c r="H274" t="s">
        <v>307</v>
      </c>
      <c r="I274" t="s">
        <v>47</v>
      </c>
      <c r="J274" t="s">
        <v>85</v>
      </c>
      <c r="K274" t="s">
        <v>274</v>
      </c>
      <c r="L274">
        <v>1</v>
      </c>
      <c r="M274">
        <v>2400</v>
      </c>
      <c r="N274">
        <v>0</v>
      </c>
      <c r="O274">
        <v>2400</v>
      </c>
      <c r="P274">
        <v>615.9</v>
      </c>
      <c r="Q274">
        <v>371.11</v>
      </c>
      <c r="R274" t="s">
        <v>57</v>
      </c>
    </row>
    <row r="275" spans="1:18" x14ac:dyDescent="0.3">
      <c r="A275" t="s">
        <v>635</v>
      </c>
      <c r="B275" s="4" t="s">
        <v>636</v>
      </c>
      <c r="C275" t="s">
        <v>166</v>
      </c>
      <c r="D275" t="s">
        <v>167</v>
      </c>
      <c r="E275" t="s">
        <v>67</v>
      </c>
      <c r="F275" t="s">
        <v>106</v>
      </c>
      <c r="G275" t="s">
        <v>107</v>
      </c>
      <c r="H275" t="s">
        <v>108</v>
      </c>
      <c r="I275" t="s">
        <v>36</v>
      </c>
      <c r="J275" t="s">
        <v>37</v>
      </c>
      <c r="K275" t="s">
        <v>280</v>
      </c>
      <c r="L275">
        <v>3</v>
      </c>
      <c r="M275">
        <v>25000</v>
      </c>
      <c r="N275">
        <v>0</v>
      </c>
      <c r="O275">
        <v>75000</v>
      </c>
      <c r="P275">
        <v>13041.3</v>
      </c>
      <c r="Q275">
        <v>69.95</v>
      </c>
      <c r="R275"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F4CDA-257F-41E3-834E-0A6645EA457F}">
  <dimension ref="A1:AC275"/>
  <sheetViews>
    <sheetView topLeftCell="V1" zoomScale="89" zoomScaleNormal="55" workbookViewId="0">
      <selection activeCell="AB8" sqref="A1:XFD1048576"/>
    </sheetView>
  </sheetViews>
  <sheetFormatPr defaultRowHeight="14.4" x14ac:dyDescent="0.3"/>
  <cols>
    <col min="1" max="1" width="14.109375" bestFit="1" customWidth="1"/>
    <col min="2" max="2" width="16.5546875" style="4" bestFit="1" customWidth="1"/>
    <col min="3" max="3" width="18.21875" bestFit="1" customWidth="1"/>
    <col min="4" max="4" width="19.21875" customWidth="1"/>
    <col min="5" max="5" width="22.33203125" customWidth="1"/>
    <col min="6" max="6" width="9.77734375" customWidth="1"/>
    <col min="7" max="7" width="12.21875" customWidth="1"/>
    <col min="8" max="8" width="12" customWidth="1"/>
    <col min="9" max="9" width="14.21875" customWidth="1"/>
    <col min="10" max="10" width="16.6640625" customWidth="1"/>
    <col min="11" max="11" width="17.21875" customWidth="1"/>
    <col min="12" max="12" width="11.109375" style="8" customWidth="1"/>
    <col min="13" max="13" width="12.88671875" style="12" customWidth="1"/>
    <col min="14" max="14" width="14.44140625" style="10" customWidth="1"/>
    <col min="15" max="15" width="17" style="12" customWidth="1"/>
    <col min="16" max="16" width="11.88671875" style="12" customWidth="1"/>
    <col min="17" max="17" width="17" style="12" customWidth="1"/>
    <col min="18" max="18" width="13.6640625" customWidth="1"/>
    <col min="19" max="20" width="8.88671875" hidden="1" customWidth="1"/>
    <col min="21" max="21" width="19.44140625" bestFit="1" customWidth="1"/>
    <col min="22" max="22" width="17" style="10" bestFit="1" customWidth="1"/>
    <col min="23" max="23" width="13.5546875" bestFit="1" customWidth="1"/>
    <col min="24" max="24" width="18.6640625" bestFit="1" customWidth="1"/>
    <col min="25" max="25" width="16.77734375" style="25" bestFit="1" customWidth="1"/>
    <col min="28" max="28" width="22.88671875" bestFit="1" customWidth="1"/>
    <col min="29" max="29" width="14.77734375" bestFit="1" customWidth="1"/>
  </cols>
  <sheetData>
    <row r="1" spans="1:29" s="1" customFormat="1" x14ac:dyDescent="0.3">
      <c r="A1" s="13" t="s">
        <v>0</v>
      </c>
      <c r="B1" s="13" t="s">
        <v>1</v>
      </c>
      <c r="C1" s="13" t="s">
        <v>2</v>
      </c>
      <c r="D1" s="13" t="s">
        <v>3</v>
      </c>
      <c r="E1" s="13" t="s">
        <v>4</v>
      </c>
      <c r="F1" s="13" t="s">
        <v>5</v>
      </c>
      <c r="G1" s="13" t="s">
        <v>6</v>
      </c>
      <c r="H1" s="13" t="s">
        <v>7</v>
      </c>
      <c r="I1" s="13" t="s">
        <v>8</v>
      </c>
      <c r="J1" s="13" t="s">
        <v>9</v>
      </c>
      <c r="K1" s="13" t="s">
        <v>10</v>
      </c>
      <c r="L1" s="13" t="s">
        <v>11</v>
      </c>
      <c r="M1" s="13" t="s">
        <v>12</v>
      </c>
      <c r="N1" s="9" t="s">
        <v>659</v>
      </c>
      <c r="O1" s="11" t="s">
        <v>14</v>
      </c>
      <c r="P1" s="11" t="s">
        <v>15</v>
      </c>
      <c r="Q1" s="11" t="s">
        <v>16</v>
      </c>
      <c r="R1" s="13" t="s">
        <v>17</v>
      </c>
      <c r="S1" s="14"/>
      <c r="T1" s="14"/>
      <c r="U1" s="15" t="s">
        <v>660</v>
      </c>
      <c r="V1" s="17" t="s">
        <v>661</v>
      </c>
      <c r="W1" s="15" t="s">
        <v>662</v>
      </c>
      <c r="X1" s="15" t="s">
        <v>663</v>
      </c>
      <c r="Y1" s="24" t="s">
        <v>664</v>
      </c>
      <c r="Z1" s="15" t="s">
        <v>665</v>
      </c>
      <c r="AA1" s="15"/>
      <c r="AB1" s="16"/>
    </row>
    <row r="2" spans="1:29" x14ac:dyDescent="0.3">
      <c r="A2" t="s">
        <v>18</v>
      </c>
      <c r="B2" s="4" t="s">
        <v>19</v>
      </c>
      <c r="C2" t="s">
        <v>20</v>
      </c>
      <c r="D2" t="s">
        <v>21</v>
      </c>
      <c r="E2" t="s">
        <v>22</v>
      </c>
      <c r="F2" t="s">
        <v>23</v>
      </c>
      <c r="G2" t="s">
        <v>24</v>
      </c>
      <c r="H2" t="s">
        <v>25</v>
      </c>
      <c r="I2" t="s">
        <v>26</v>
      </c>
      <c r="J2" t="s">
        <v>27</v>
      </c>
      <c r="K2" t="s">
        <v>28</v>
      </c>
      <c r="L2" s="8">
        <v>4</v>
      </c>
      <c r="M2" s="12">
        <v>40000</v>
      </c>
      <c r="N2" s="10">
        <v>0.1</v>
      </c>
      <c r="O2" s="12">
        <v>144000</v>
      </c>
      <c r="P2" s="12">
        <v>31228.09</v>
      </c>
      <c r="Q2" s="12">
        <v>292.38</v>
      </c>
      <c r="R2" t="s">
        <v>29</v>
      </c>
      <c r="U2" s="12">
        <f>Table2[[#This Row],[Quantity]]*Table2[[#This Row],[Unit_Price]]*(1-Table2[[#This Row],[ Discount]])</f>
        <v>144000</v>
      </c>
      <c r="V2" s="10">
        <f>Table2[[#This Row],[Profit]]/Table2[[#This Row],[Sales_Amount]]</f>
        <v>0.21686173611111112</v>
      </c>
      <c r="W2" t="str">
        <f>IF(Table2[[#This Row],[Sales_Amount]]&gt;10000,"High Value","Normal")</f>
        <v>High Value</v>
      </c>
      <c r="X2" t="str">
        <f>IF(N2=0,"No Discount",IF(N2&lt;=0.05,"Low",IF(N2&lt;=0.1,"Medium","High")))</f>
        <v>Medium</v>
      </c>
      <c r="Y2" s="25">
        <f>DATE(YEAR(B2),MONTH(B2),1)</f>
        <v>45292</v>
      </c>
      <c r="Z2">
        <f>YEAR(B2)</f>
        <v>2024</v>
      </c>
    </row>
    <row r="3" spans="1:29" x14ac:dyDescent="0.3">
      <c r="A3" t="s">
        <v>30</v>
      </c>
      <c r="B3" s="4" t="s">
        <v>31</v>
      </c>
      <c r="C3" t="s">
        <v>32</v>
      </c>
      <c r="D3" t="s">
        <v>33</v>
      </c>
      <c r="E3" t="s">
        <v>22</v>
      </c>
      <c r="F3" t="s">
        <v>23</v>
      </c>
      <c r="G3" t="s">
        <v>34</v>
      </c>
      <c r="H3" t="s">
        <v>35</v>
      </c>
      <c r="I3" t="s">
        <v>36</v>
      </c>
      <c r="J3" t="s">
        <v>37</v>
      </c>
      <c r="K3" t="s">
        <v>38</v>
      </c>
      <c r="L3" s="8">
        <v>4</v>
      </c>
      <c r="M3" s="12">
        <v>6000</v>
      </c>
      <c r="N3" s="10">
        <v>0.15</v>
      </c>
      <c r="O3" s="12">
        <v>20400</v>
      </c>
      <c r="P3" s="12">
        <v>2362.3200000000002</v>
      </c>
      <c r="Q3" s="12">
        <v>305.11</v>
      </c>
      <c r="R3" t="s">
        <v>39</v>
      </c>
      <c r="U3" s="12">
        <f>Table2[[#This Row],[Quantity]]*Table2[[#This Row],[Unit_Price]]*(1-Table2[[#This Row],[ Discount]])</f>
        <v>20400</v>
      </c>
      <c r="V3" s="10">
        <f>Table2[[#This Row],[Profit]]/Table2[[#This Row],[Sales_Amount]]</f>
        <v>0.11580000000000001</v>
      </c>
      <c r="W3" t="str">
        <f>IF(Table2[[#This Row],[Sales_Amount]]&gt;10000,"High Value","Normal")</f>
        <v>High Value</v>
      </c>
      <c r="X3" t="str">
        <f t="shared" ref="X3:X66" si="0">IF(N3=0,"No Discount",IF(N3&lt;=0.05,"Low",IF(N3&lt;=0.1,"Medium","High")))</f>
        <v>High</v>
      </c>
      <c r="Y3" s="25">
        <f t="shared" ref="Y3:Y66" si="1">DATE(YEAR(B3),MONTH(B3),1)</f>
        <v>45292</v>
      </c>
      <c r="Z3">
        <f t="shared" ref="Z3:Z66" si="2">YEAR(B3)</f>
        <v>2024</v>
      </c>
    </row>
    <row r="4" spans="1:29" x14ac:dyDescent="0.3">
      <c r="A4" t="s">
        <v>40</v>
      </c>
      <c r="B4" s="4" t="s">
        <v>41</v>
      </c>
      <c r="C4" t="s">
        <v>42</v>
      </c>
      <c r="D4" t="s">
        <v>43</v>
      </c>
      <c r="E4" t="s">
        <v>22</v>
      </c>
      <c r="F4" t="s">
        <v>44</v>
      </c>
      <c r="G4" t="s">
        <v>45</v>
      </c>
      <c r="H4" t="s">
        <v>46</v>
      </c>
      <c r="I4" t="s">
        <v>47</v>
      </c>
      <c r="J4" t="s">
        <v>48</v>
      </c>
      <c r="K4" t="s">
        <v>49</v>
      </c>
      <c r="L4" s="8">
        <v>5</v>
      </c>
      <c r="M4" s="12">
        <v>3500</v>
      </c>
      <c r="N4" s="10">
        <v>0</v>
      </c>
      <c r="O4" s="12">
        <v>17500</v>
      </c>
      <c r="P4" s="12">
        <v>2888.22</v>
      </c>
      <c r="Q4" s="12">
        <v>213.14</v>
      </c>
      <c r="R4" t="s">
        <v>39</v>
      </c>
      <c r="U4" s="12">
        <f>Table2[[#This Row],[Quantity]]*Table2[[#This Row],[Unit_Price]]*(1-Table2[[#This Row],[ Discount]])</f>
        <v>17500</v>
      </c>
      <c r="V4" s="10">
        <f>Table2[[#This Row],[Profit]]/Table2[[#This Row],[Sales_Amount]]</f>
        <v>0.16504114285714286</v>
      </c>
      <c r="W4" t="str">
        <f>IF(Table2[[#This Row],[Sales_Amount]]&gt;10000,"High Value","Normal")</f>
        <v>High Value</v>
      </c>
      <c r="X4" t="str">
        <f t="shared" si="0"/>
        <v>No Discount</v>
      </c>
      <c r="Y4" s="25">
        <f t="shared" si="1"/>
        <v>45292</v>
      </c>
      <c r="Z4">
        <f t="shared" si="2"/>
        <v>2024</v>
      </c>
    </row>
    <row r="5" spans="1:29" x14ac:dyDescent="0.3">
      <c r="A5" t="s">
        <v>50</v>
      </c>
      <c r="B5" s="4" t="s">
        <v>51</v>
      </c>
      <c r="C5" t="s">
        <v>42</v>
      </c>
      <c r="D5" t="s">
        <v>43</v>
      </c>
      <c r="E5" t="s">
        <v>52</v>
      </c>
      <c r="F5" t="s">
        <v>53</v>
      </c>
      <c r="G5" t="s">
        <v>54</v>
      </c>
      <c r="H5" t="s">
        <v>55</v>
      </c>
      <c r="I5" t="s">
        <v>26</v>
      </c>
      <c r="J5" t="s">
        <v>27</v>
      </c>
      <c r="K5" t="s">
        <v>56</v>
      </c>
      <c r="L5" s="8">
        <v>4</v>
      </c>
      <c r="M5" s="12">
        <v>55000</v>
      </c>
      <c r="N5" s="10">
        <v>0.1</v>
      </c>
      <c r="O5" s="12">
        <v>198000</v>
      </c>
      <c r="P5" s="12">
        <v>52463.94</v>
      </c>
      <c r="Q5" s="12">
        <v>129.93</v>
      </c>
      <c r="R5" t="s">
        <v>57</v>
      </c>
      <c r="U5" s="12">
        <f>Table2[[#This Row],[Quantity]]*Table2[[#This Row],[Unit_Price]]*(1-Table2[[#This Row],[ Discount]])</f>
        <v>198000</v>
      </c>
      <c r="V5" s="10">
        <f>Table2[[#This Row],[Profit]]/Table2[[#This Row],[Sales_Amount]]</f>
        <v>0.26496939393939395</v>
      </c>
      <c r="W5" t="str">
        <f>IF(Table2[[#This Row],[Sales_Amount]]&gt;10000,"High Value","Normal")</f>
        <v>High Value</v>
      </c>
      <c r="X5" t="str">
        <f t="shared" si="0"/>
        <v>Medium</v>
      </c>
      <c r="Y5" s="25">
        <f t="shared" si="1"/>
        <v>45292</v>
      </c>
      <c r="Z5">
        <f t="shared" si="2"/>
        <v>2024</v>
      </c>
    </row>
    <row r="6" spans="1:29" x14ac:dyDescent="0.3">
      <c r="A6" t="s">
        <v>58</v>
      </c>
      <c r="B6" s="4" t="s">
        <v>59</v>
      </c>
      <c r="C6" t="s">
        <v>60</v>
      </c>
      <c r="D6" t="s">
        <v>61</v>
      </c>
      <c r="E6" t="s">
        <v>52</v>
      </c>
      <c r="F6" t="s">
        <v>23</v>
      </c>
      <c r="G6" t="s">
        <v>34</v>
      </c>
      <c r="H6" t="s">
        <v>62</v>
      </c>
      <c r="I6" t="s">
        <v>47</v>
      </c>
      <c r="J6" t="s">
        <v>48</v>
      </c>
      <c r="K6" t="s">
        <v>63</v>
      </c>
      <c r="L6" s="8">
        <v>1</v>
      </c>
      <c r="M6" s="12">
        <v>2800</v>
      </c>
      <c r="N6" s="10">
        <v>0</v>
      </c>
      <c r="O6" s="12">
        <v>2800</v>
      </c>
      <c r="P6" s="12">
        <v>397.49</v>
      </c>
      <c r="Q6" s="12">
        <v>52.55</v>
      </c>
      <c r="R6" t="s">
        <v>64</v>
      </c>
      <c r="U6" s="12">
        <f>Table2[[#This Row],[Quantity]]*Table2[[#This Row],[Unit_Price]]*(1-Table2[[#This Row],[ Discount]])</f>
        <v>2800</v>
      </c>
      <c r="V6" s="10">
        <f>Table2[[#This Row],[Profit]]/Table2[[#This Row],[Sales_Amount]]</f>
        <v>0.1419607142857143</v>
      </c>
      <c r="W6" t="str">
        <f>IF(Table2[[#This Row],[Sales_Amount]]&gt;10000,"High Value","Normal")</f>
        <v>Normal</v>
      </c>
      <c r="X6" t="str">
        <f t="shared" si="0"/>
        <v>No Discount</v>
      </c>
      <c r="Y6" s="25">
        <f t="shared" si="1"/>
        <v>45292</v>
      </c>
      <c r="Z6">
        <f t="shared" si="2"/>
        <v>2024</v>
      </c>
    </row>
    <row r="7" spans="1:29" x14ac:dyDescent="0.3">
      <c r="A7" t="s">
        <v>65</v>
      </c>
      <c r="B7" s="4" t="s">
        <v>66</v>
      </c>
      <c r="C7" t="s">
        <v>42</v>
      </c>
      <c r="D7" t="s">
        <v>43</v>
      </c>
      <c r="E7" t="s">
        <v>67</v>
      </c>
      <c r="F7" t="s">
        <v>23</v>
      </c>
      <c r="G7" t="s">
        <v>24</v>
      </c>
      <c r="H7" t="s">
        <v>68</v>
      </c>
      <c r="I7" t="s">
        <v>26</v>
      </c>
      <c r="J7" t="s">
        <v>69</v>
      </c>
      <c r="K7" t="s">
        <v>70</v>
      </c>
      <c r="L7" s="8">
        <v>5</v>
      </c>
      <c r="M7" s="12">
        <v>45000</v>
      </c>
      <c r="N7" s="10">
        <v>0.05</v>
      </c>
      <c r="O7" s="12">
        <v>213750</v>
      </c>
      <c r="P7" s="12">
        <v>52374.47</v>
      </c>
      <c r="Q7" s="12">
        <v>106.86</v>
      </c>
      <c r="R7" t="s">
        <v>29</v>
      </c>
      <c r="U7" s="12">
        <f>Table2[[#This Row],[Quantity]]*Table2[[#This Row],[Unit_Price]]*(1-Table2[[#This Row],[ Discount]])</f>
        <v>213750</v>
      </c>
      <c r="V7" s="10">
        <f>Table2[[#This Row],[Profit]]/Table2[[#This Row],[Sales_Amount]]</f>
        <v>0.24502676023391814</v>
      </c>
      <c r="W7" t="str">
        <f>IF(Table2[[#This Row],[Sales_Amount]]&gt;10000,"High Value","Normal")</f>
        <v>High Value</v>
      </c>
      <c r="X7" t="str">
        <f t="shared" si="0"/>
        <v>Low</v>
      </c>
      <c r="Y7" s="25">
        <f t="shared" si="1"/>
        <v>45292</v>
      </c>
      <c r="Z7">
        <f t="shared" si="2"/>
        <v>2024</v>
      </c>
    </row>
    <row r="8" spans="1:29" x14ac:dyDescent="0.3">
      <c r="A8" t="s">
        <v>71</v>
      </c>
      <c r="B8" s="4" t="s">
        <v>59</v>
      </c>
      <c r="C8" t="s">
        <v>72</v>
      </c>
      <c r="D8" t="s">
        <v>73</v>
      </c>
      <c r="E8" t="s">
        <v>22</v>
      </c>
      <c r="F8" t="s">
        <v>23</v>
      </c>
      <c r="G8" t="s">
        <v>74</v>
      </c>
      <c r="H8" t="s">
        <v>75</v>
      </c>
      <c r="I8" t="s">
        <v>26</v>
      </c>
      <c r="J8" t="s">
        <v>27</v>
      </c>
      <c r="K8" t="s">
        <v>76</v>
      </c>
      <c r="L8" s="8">
        <v>2</v>
      </c>
      <c r="M8" s="12">
        <v>75000</v>
      </c>
      <c r="N8" s="10">
        <v>0</v>
      </c>
      <c r="O8" s="12">
        <v>150000</v>
      </c>
      <c r="P8" s="12">
        <v>17224.05</v>
      </c>
      <c r="Q8" s="12">
        <v>129.94</v>
      </c>
      <c r="R8" t="s">
        <v>57</v>
      </c>
      <c r="U8" s="12">
        <f>Table2[[#This Row],[Quantity]]*Table2[[#This Row],[Unit_Price]]*(1-Table2[[#This Row],[ Discount]])</f>
        <v>150000</v>
      </c>
      <c r="V8" s="10">
        <f>Table2[[#This Row],[Profit]]/Table2[[#This Row],[Sales_Amount]]</f>
        <v>0.114827</v>
      </c>
      <c r="W8" t="str">
        <f>IF(Table2[[#This Row],[Sales_Amount]]&gt;10000,"High Value","Normal")</f>
        <v>High Value</v>
      </c>
      <c r="X8" t="str">
        <f t="shared" si="0"/>
        <v>No Discount</v>
      </c>
      <c r="Y8" s="25">
        <f t="shared" si="1"/>
        <v>45292</v>
      </c>
      <c r="Z8">
        <f t="shared" si="2"/>
        <v>2024</v>
      </c>
      <c r="AB8" s="7" t="s">
        <v>693</v>
      </c>
      <c r="AC8" s="7">
        <f>SUM(L:L)</f>
        <v>835</v>
      </c>
    </row>
    <row r="9" spans="1:29" x14ac:dyDescent="0.3">
      <c r="A9" t="s">
        <v>77</v>
      </c>
      <c r="B9" s="4" t="s">
        <v>31</v>
      </c>
      <c r="C9" t="s">
        <v>78</v>
      </c>
      <c r="D9" t="s">
        <v>79</v>
      </c>
      <c r="E9" t="s">
        <v>67</v>
      </c>
      <c r="F9" t="s">
        <v>53</v>
      </c>
      <c r="G9" t="s">
        <v>54</v>
      </c>
      <c r="H9" t="s">
        <v>55</v>
      </c>
      <c r="I9" t="s">
        <v>26</v>
      </c>
      <c r="J9" t="s">
        <v>69</v>
      </c>
      <c r="K9" t="s">
        <v>80</v>
      </c>
      <c r="L9" s="8">
        <v>1</v>
      </c>
      <c r="M9" s="12">
        <v>50000</v>
      </c>
      <c r="N9" s="10">
        <v>0.1</v>
      </c>
      <c r="O9" s="12">
        <v>45000</v>
      </c>
      <c r="P9" s="12">
        <v>6189.43</v>
      </c>
      <c r="Q9" s="12">
        <v>313.56</v>
      </c>
      <c r="R9" t="s">
        <v>39</v>
      </c>
      <c r="U9" s="12">
        <f>Table2[[#This Row],[Quantity]]*Table2[[#This Row],[Unit_Price]]*(1-Table2[[#This Row],[ Discount]])</f>
        <v>45000</v>
      </c>
      <c r="V9" s="10">
        <f>Table2[[#This Row],[Profit]]/Table2[[#This Row],[Sales_Amount]]</f>
        <v>0.13754288888888891</v>
      </c>
      <c r="W9" t="str">
        <f>IF(Table2[[#This Row],[Sales_Amount]]&gt;10000,"High Value","Normal")</f>
        <v>High Value</v>
      </c>
      <c r="X9" t="str">
        <f t="shared" si="0"/>
        <v>Medium</v>
      </c>
      <c r="Y9" s="25">
        <f t="shared" si="1"/>
        <v>45292</v>
      </c>
      <c r="Z9">
        <f t="shared" si="2"/>
        <v>2024</v>
      </c>
      <c r="AB9" s="7" t="s">
        <v>694</v>
      </c>
      <c r="AC9" s="21">
        <f>SUM(O:O)</f>
        <v>12106040</v>
      </c>
    </row>
    <row r="10" spans="1:29" x14ac:dyDescent="0.3">
      <c r="A10" t="s">
        <v>81</v>
      </c>
      <c r="B10" s="4" t="s">
        <v>82</v>
      </c>
      <c r="C10" t="s">
        <v>20</v>
      </c>
      <c r="D10" t="s">
        <v>21</v>
      </c>
      <c r="E10" t="s">
        <v>67</v>
      </c>
      <c r="F10" t="s">
        <v>53</v>
      </c>
      <c r="G10" t="s">
        <v>83</v>
      </c>
      <c r="H10" t="s">
        <v>84</v>
      </c>
      <c r="I10" t="s">
        <v>47</v>
      </c>
      <c r="J10" t="s">
        <v>85</v>
      </c>
      <c r="K10" t="s">
        <v>86</v>
      </c>
      <c r="L10" s="8">
        <v>5</v>
      </c>
      <c r="M10" s="12">
        <v>3500</v>
      </c>
      <c r="N10" s="10">
        <v>0</v>
      </c>
      <c r="O10" s="12">
        <v>17500</v>
      </c>
      <c r="P10" s="12">
        <v>2034.29</v>
      </c>
      <c r="Q10" s="12">
        <v>66.92</v>
      </c>
      <c r="R10" t="s">
        <v>64</v>
      </c>
      <c r="U10" s="12">
        <f>Table2[[#This Row],[Quantity]]*Table2[[#This Row],[Unit_Price]]*(1-Table2[[#This Row],[ Discount]])</f>
        <v>17500</v>
      </c>
      <c r="V10" s="10">
        <f>Table2[[#This Row],[Profit]]/Table2[[#This Row],[Sales_Amount]]</f>
        <v>0.11624514285714285</v>
      </c>
      <c r="W10" t="str">
        <f>IF(Table2[[#This Row],[Sales_Amount]]&gt;10000,"High Value","Normal")</f>
        <v>High Value</v>
      </c>
      <c r="X10" t="str">
        <f t="shared" si="0"/>
        <v>No Discount</v>
      </c>
      <c r="Y10" s="25">
        <f t="shared" si="1"/>
        <v>45292</v>
      </c>
      <c r="Z10">
        <f t="shared" si="2"/>
        <v>2024</v>
      </c>
      <c r="AB10" s="7" t="s">
        <v>695</v>
      </c>
      <c r="AC10" s="21">
        <f>SUM(P:P)</f>
        <v>2207520.17</v>
      </c>
    </row>
    <row r="11" spans="1:29" x14ac:dyDescent="0.3">
      <c r="A11" t="s">
        <v>87</v>
      </c>
      <c r="B11" s="4" t="s">
        <v>88</v>
      </c>
      <c r="C11" t="s">
        <v>89</v>
      </c>
      <c r="D11" t="s">
        <v>90</v>
      </c>
      <c r="E11" t="s">
        <v>67</v>
      </c>
      <c r="F11" t="s">
        <v>23</v>
      </c>
      <c r="G11" t="s">
        <v>34</v>
      </c>
      <c r="H11" t="s">
        <v>62</v>
      </c>
      <c r="I11" t="s">
        <v>26</v>
      </c>
      <c r="J11" t="s">
        <v>91</v>
      </c>
      <c r="K11" t="s">
        <v>92</v>
      </c>
      <c r="L11" s="8">
        <v>1</v>
      </c>
      <c r="M11" s="12">
        <v>1200</v>
      </c>
      <c r="N11" s="10">
        <v>0.2</v>
      </c>
      <c r="O11" s="12">
        <v>960</v>
      </c>
      <c r="P11" s="12">
        <v>208.87</v>
      </c>
      <c r="Q11" s="12">
        <v>191.27</v>
      </c>
      <c r="R11" t="s">
        <v>57</v>
      </c>
      <c r="U11" s="12">
        <f>Table2[[#This Row],[Quantity]]*Table2[[#This Row],[Unit_Price]]*(1-Table2[[#This Row],[ Discount]])</f>
        <v>960</v>
      </c>
      <c r="V11" s="10">
        <f>Table2[[#This Row],[Profit]]/Table2[[#This Row],[Sales_Amount]]</f>
        <v>0.21757291666666667</v>
      </c>
      <c r="W11" t="str">
        <f>IF(Table2[[#This Row],[Sales_Amount]]&gt;10000,"High Value","Normal")</f>
        <v>Normal</v>
      </c>
      <c r="X11" t="str">
        <f t="shared" si="0"/>
        <v>High</v>
      </c>
      <c r="Y11" s="25">
        <f t="shared" si="1"/>
        <v>45292</v>
      </c>
      <c r="Z11">
        <f t="shared" si="2"/>
        <v>2024</v>
      </c>
      <c r="AB11" s="7" t="s">
        <v>696</v>
      </c>
      <c r="AC11" s="7">
        <f>AVERAGE(M:M)</f>
        <v>14981.021897810218</v>
      </c>
    </row>
    <row r="12" spans="1:29" x14ac:dyDescent="0.3">
      <c r="A12" t="s">
        <v>93</v>
      </c>
      <c r="B12" s="4" t="s">
        <v>19</v>
      </c>
      <c r="C12" t="s">
        <v>94</v>
      </c>
      <c r="D12" t="s">
        <v>95</v>
      </c>
      <c r="E12" t="s">
        <v>67</v>
      </c>
      <c r="F12" t="s">
        <v>44</v>
      </c>
      <c r="G12" t="s">
        <v>45</v>
      </c>
      <c r="H12" t="s">
        <v>96</v>
      </c>
      <c r="I12" t="s">
        <v>47</v>
      </c>
      <c r="J12" t="s">
        <v>48</v>
      </c>
      <c r="K12" t="s">
        <v>97</v>
      </c>
      <c r="L12" s="8">
        <v>3</v>
      </c>
      <c r="M12" s="12">
        <v>1500</v>
      </c>
      <c r="N12" s="10">
        <v>0.15</v>
      </c>
      <c r="O12" s="12">
        <v>3825</v>
      </c>
      <c r="P12" s="12">
        <v>975.06</v>
      </c>
      <c r="Q12" s="12">
        <v>404.69</v>
      </c>
      <c r="R12" t="s">
        <v>57</v>
      </c>
      <c r="U12" s="12">
        <f>Table2[[#This Row],[Quantity]]*Table2[[#This Row],[Unit_Price]]*(1-Table2[[#This Row],[ Discount]])</f>
        <v>3825</v>
      </c>
      <c r="V12" s="10">
        <f>Table2[[#This Row],[Profit]]/Table2[[#This Row],[Sales_Amount]]</f>
        <v>0.25491764705882353</v>
      </c>
      <c r="W12" t="str">
        <f>IF(Table2[[#This Row],[Sales_Amount]]&gt;10000,"High Value","Normal")</f>
        <v>Normal</v>
      </c>
      <c r="X12" t="str">
        <f t="shared" si="0"/>
        <v>High</v>
      </c>
      <c r="Y12" s="25">
        <f t="shared" si="1"/>
        <v>45292</v>
      </c>
      <c r="Z12">
        <f t="shared" si="2"/>
        <v>2024</v>
      </c>
    </row>
    <row r="13" spans="1:29" x14ac:dyDescent="0.3">
      <c r="A13" t="s">
        <v>98</v>
      </c>
      <c r="B13" s="4" t="s">
        <v>99</v>
      </c>
      <c r="C13" t="s">
        <v>32</v>
      </c>
      <c r="D13" t="s">
        <v>33</v>
      </c>
      <c r="E13" t="s">
        <v>67</v>
      </c>
      <c r="F13" t="s">
        <v>53</v>
      </c>
      <c r="G13" t="s">
        <v>100</v>
      </c>
      <c r="H13" t="s">
        <v>101</v>
      </c>
      <c r="I13" t="s">
        <v>47</v>
      </c>
      <c r="J13" t="s">
        <v>85</v>
      </c>
      <c r="K13" t="s">
        <v>102</v>
      </c>
      <c r="L13" s="8">
        <v>5</v>
      </c>
      <c r="M13" s="12">
        <v>3200</v>
      </c>
      <c r="N13" s="10">
        <v>0.15</v>
      </c>
      <c r="O13" s="12">
        <v>13600</v>
      </c>
      <c r="P13" s="12">
        <v>3032.33</v>
      </c>
      <c r="Q13" s="12">
        <v>137.51</v>
      </c>
      <c r="R13" t="s">
        <v>64</v>
      </c>
      <c r="U13" s="12">
        <f>Table2[[#This Row],[Quantity]]*Table2[[#This Row],[Unit_Price]]*(1-Table2[[#This Row],[ Discount]])</f>
        <v>13600</v>
      </c>
      <c r="V13" s="10">
        <f>Table2[[#This Row],[Profit]]/Table2[[#This Row],[Sales_Amount]]</f>
        <v>0.22296544117647057</v>
      </c>
      <c r="W13" t="str">
        <f>IF(Table2[[#This Row],[Sales_Amount]]&gt;10000,"High Value","Normal")</f>
        <v>High Value</v>
      </c>
      <c r="X13" t="str">
        <f t="shared" si="0"/>
        <v>High</v>
      </c>
      <c r="Y13" s="25">
        <f t="shared" si="1"/>
        <v>45292</v>
      </c>
      <c r="Z13">
        <f t="shared" si="2"/>
        <v>2024</v>
      </c>
    </row>
    <row r="14" spans="1:29" x14ac:dyDescent="0.3">
      <c r="A14" t="s">
        <v>103</v>
      </c>
      <c r="B14" s="4" t="s">
        <v>31</v>
      </c>
      <c r="C14" t="s">
        <v>104</v>
      </c>
      <c r="D14" t="s">
        <v>105</v>
      </c>
      <c r="E14" t="s">
        <v>52</v>
      </c>
      <c r="F14" t="s">
        <v>106</v>
      </c>
      <c r="G14" t="s">
        <v>107</v>
      </c>
      <c r="H14" t="s">
        <v>108</v>
      </c>
      <c r="I14" t="s">
        <v>26</v>
      </c>
      <c r="J14" t="s">
        <v>91</v>
      </c>
      <c r="K14" t="s">
        <v>109</v>
      </c>
      <c r="L14" s="8">
        <v>3</v>
      </c>
      <c r="M14" s="12">
        <v>8000</v>
      </c>
      <c r="N14" s="10">
        <v>0.15</v>
      </c>
      <c r="O14" s="12">
        <v>20400</v>
      </c>
      <c r="P14" s="12">
        <v>3332.19</v>
      </c>
      <c r="Q14" s="12">
        <v>388.69</v>
      </c>
      <c r="R14" t="s">
        <v>57</v>
      </c>
      <c r="U14" s="12">
        <f>Table2[[#This Row],[Quantity]]*Table2[[#This Row],[Unit_Price]]*(1-Table2[[#This Row],[ Discount]])</f>
        <v>20400</v>
      </c>
      <c r="V14" s="10">
        <f>Table2[[#This Row],[Profit]]/Table2[[#This Row],[Sales_Amount]]</f>
        <v>0.16334264705882354</v>
      </c>
      <c r="W14" t="str">
        <f>IF(Table2[[#This Row],[Sales_Amount]]&gt;10000,"High Value","Normal")</f>
        <v>High Value</v>
      </c>
      <c r="X14" t="str">
        <f t="shared" si="0"/>
        <v>High</v>
      </c>
      <c r="Y14" s="25">
        <f t="shared" si="1"/>
        <v>45292</v>
      </c>
      <c r="Z14">
        <f t="shared" si="2"/>
        <v>2024</v>
      </c>
    </row>
    <row r="15" spans="1:29" x14ac:dyDescent="0.3">
      <c r="A15" t="s">
        <v>110</v>
      </c>
      <c r="B15" s="4" t="s">
        <v>111</v>
      </c>
      <c r="C15" t="s">
        <v>104</v>
      </c>
      <c r="D15" t="s">
        <v>105</v>
      </c>
      <c r="E15" t="s">
        <v>22</v>
      </c>
      <c r="F15" t="s">
        <v>53</v>
      </c>
      <c r="G15" t="s">
        <v>54</v>
      </c>
      <c r="H15" t="s">
        <v>112</v>
      </c>
      <c r="I15" t="s">
        <v>36</v>
      </c>
      <c r="J15" t="s">
        <v>113</v>
      </c>
      <c r="K15" t="s">
        <v>114</v>
      </c>
      <c r="L15" s="8">
        <v>1</v>
      </c>
      <c r="M15" s="12">
        <v>600</v>
      </c>
      <c r="N15" s="10">
        <v>0.1</v>
      </c>
      <c r="O15" s="12">
        <v>540</v>
      </c>
      <c r="P15" s="12">
        <v>76.739999999999995</v>
      </c>
      <c r="Q15" s="12">
        <v>352.54</v>
      </c>
      <c r="R15" t="s">
        <v>57</v>
      </c>
      <c r="U15" s="12">
        <f>Table2[[#This Row],[Quantity]]*Table2[[#This Row],[Unit_Price]]*(1-Table2[[#This Row],[ Discount]])</f>
        <v>540</v>
      </c>
      <c r="V15" s="10">
        <f>Table2[[#This Row],[Profit]]/Table2[[#This Row],[Sales_Amount]]</f>
        <v>0.1421111111111111</v>
      </c>
      <c r="W15" t="str">
        <f>IF(Table2[[#This Row],[Sales_Amount]]&gt;10000,"High Value","Normal")</f>
        <v>Normal</v>
      </c>
      <c r="X15" t="str">
        <f t="shared" si="0"/>
        <v>Medium</v>
      </c>
      <c r="Y15" s="25">
        <f t="shared" si="1"/>
        <v>45292</v>
      </c>
      <c r="Z15">
        <f t="shared" si="2"/>
        <v>2024</v>
      </c>
    </row>
    <row r="16" spans="1:29" x14ac:dyDescent="0.3">
      <c r="A16" t="s">
        <v>115</v>
      </c>
      <c r="B16" s="4" t="s">
        <v>116</v>
      </c>
      <c r="C16" t="s">
        <v>117</v>
      </c>
      <c r="D16" t="s">
        <v>118</v>
      </c>
      <c r="E16" t="s">
        <v>52</v>
      </c>
      <c r="F16" t="s">
        <v>106</v>
      </c>
      <c r="G16" t="s">
        <v>107</v>
      </c>
      <c r="H16" t="s">
        <v>108</v>
      </c>
      <c r="I16" t="s">
        <v>47</v>
      </c>
      <c r="J16" t="s">
        <v>119</v>
      </c>
      <c r="K16" t="s">
        <v>120</v>
      </c>
      <c r="L16" s="8">
        <v>5</v>
      </c>
      <c r="M16" s="12">
        <v>1800</v>
      </c>
      <c r="N16" s="10">
        <v>0.2</v>
      </c>
      <c r="O16" s="12">
        <v>7200</v>
      </c>
      <c r="P16" s="12">
        <v>1485.64</v>
      </c>
      <c r="Q16" s="12">
        <v>394.27</v>
      </c>
      <c r="R16" t="s">
        <v>64</v>
      </c>
      <c r="U16" s="12">
        <f>Table2[[#This Row],[Quantity]]*Table2[[#This Row],[Unit_Price]]*(1-Table2[[#This Row],[ Discount]])</f>
        <v>7200</v>
      </c>
      <c r="V16" s="10">
        <f>Table2[[#This Row],[Profit]]/Table2[[#This Row],[Sales_Amount]]</f>
        <v>0.20633888888888891</v>
      </c>
      <c r="W16" t="str">
        <f>IF(Table2[[#This Row],[Sales_Amount]]&gt;10000,"High Value","Normal")</f>
        <v>Normal</v>
      </c>
      <c r="X16" t="str">
        <f t="shared" si="0"/>
        <v>High</v>
      </c>
      <c r="Y16" s="25">
        <f t="shared" si="1"/>
        <v>45292</v>
      </c>
      <c r="Z16">
        <f t="shared" si="2"/>
        <v>2024</v>
      </c>
    </row>
    <row r="17" spans="1:26" x14ac:dyDescent="0.3">
      <c r="A17" t="s">
        <v>121</v>
      </c>
      <c r="B17" s="4" t="s">
        <v>31</v>
      </c>
      <c r="C17" t="s">
        <v>122</v>
      </c>
      <c r="D17" t="s">
        <v>123</v>
      </c>
      <c r="E17" t="s">
        <v>52</v>
      </c>
      <c r="F17" t="s">
        <v>44</v>
      </c>
      <c r="G17" t="s">
        <v>45</v>
      </c>
      <c r="H17" t="s">
        <v>124</v>
      </c>
      <c r="I17" t="s">
        <v>36</v>
      </c>
      <c r="J17" t="s">
        <v>37</v>
      </c>
      <c r="K17" t="s">
        <v>125</v>
      </c>
      <c r="L17" s="8">
        <v>4</v>
      </c>
      <c r="M17" s="12">
        <v>8500</v>
      </c>
      <c r="N17" s="10">
        <v>0</v>
      </c>
      <c r="O17" s="12">
        <v>34000</v>
      </c>
      <c r="P17" s="12">
        <v>5230.74</v>
      </c>
      <c r="Q17" s="12">
        <v>300.75</v>
      </c>
      <c r="R17" t="s">
        <v>64</v>
      </c>
      <c r="U17" s="12">
        <f>Table2[[#This Row],[Quantity]]*Table2[[#This Row],[Unit_Price]]*(1-Table2[[#This Row],[ Discount]])</f>
        <v>34000</v>
      </c>
      <c r="V17" s="10">
        <f>Table2[[#This Row],[Profit]]/Table2[[#This Row],[Sales_Amount]]</f>
        <v>0.15384529411764705</v>
      </c>
      <c r="W17" t="str">
        <f>IF(Table2[[#This Row],[Sales_Amount]]&gt;10000,"High Value","Normal")</f>
        <v>High Value</v>
      </c>
      <c r="X17" t="str">
        <f t="shared" si="0"/>
        <v>No Discount</v>
      </c>
      <c r="Y17" s="25">
        <f t="shared" si="1"/>
        <v>45292</v>
      </c>
      <c r="Z17">
        <f t="shared" si="2"/>
        <v>2024</v>
      </c>
    </row>
    <row r="18" spans="1:26" x14ac:dyDescent="0.3">
      <c r="A18" t="s">
        <v>126</v>
      </c>
      <c r="B18" s="4" t="s">
        <v>31</v>
      </c>
      <c r="C18" t="s">
        <v>127</v>
      </c>
      <c r="D18" t="s">
        <v>128</v>
      </c>
      <c r="E18" t="s">
        <v>52</v>
      </c>
      <c r="F18" t="s">
        <v>53</v>
      </c>
      <c r="G18" t="s">
        <v>83</v>
      </c>
      <c r="H18" t="s">
        <v>129</v>
      </c>
      <c r="I18" t="s">
        <v>47</v>
      </c>
      <c r="J18" t="s">
        <v>85</v>
      </c>
      <c r="K18" t="s">
        <v>86</v>
      </c>
      <c r="L18" s="8">
        <v>2</v>
      </c>
      <c r="M18" s="12">
        <v>3500</v>
      </c>
      <c r="N18" s="10">
        <v>0</v>
      </c>
      <c r="O18" s="12">
        <v>7000</v>
      </c>
      <c r="P18" s="12">
        <v>1822.47</v>
      </c>
      <c r="Q18" s="12">
        <v>440.57</v>
      </c>
      <c r="R18" t="s">
        <v>29</v>
      </c>
      <c r="U18" s="12">
        <f>Table2[[#This Row],[Quantity]]*Table2[[#This Row],[Unit_Price]]*(1-Table2[[#This Row],[ Discount]])</f>
        <v>7000</v>
      </c>
      <c r="V18" s="10">
        <f>Table2[[#This Row],[Profit]]/Table2[[#This Row],[Sales_Amount]]</f>
        <v>0.26035285714285716</v>
      </c>
      <c r="W18" t="str">
        <f>IF(Table2[[#This Row],[Sales_Amount]]&gt;10000,"High Value","Normal")</f>
        <v>Normal</v>
      </c>
      <c r="X18" t="str">
        <f t="shared" si="0"/>
        <v>No Discount</v>
      </c>
      <c r="Y18" s="25">
        <f t="shared" si="1"/>
        <v>45292</v>
      </c>
      <c r="Z18">
        <f t="shared" si="2"/>
        <v>2024</v>
      </c>
    </row>
    <row r="19" spans="1:26" x14ac:dyDescent="0.3">
      <c r="A19" t="s">
        <v>130</v>
      </c>
      <c r="B19" s="4" t="s">
        <v>111</v>
      </c>
      <c r="C19" t="s">
        <v>78</v>
      </c>
      <c r="D19" t="s">
        <v>79</v>
      </c>
      <c r="E19" t="s">
        <v>22</v>
      </c>
      <c r="F19" t="s">
        <v>23</v>
      </c>
      <c r="G19" t="s">
        <v>34</v>
      </c>
      <c r="H19" t="s">
        <v>35</v>
      </c>
      <c r="I19" t="s">
        <v>26</v>
      </c>
      <c r="J19" t="s">
        <v>69</v>
      </c>
      <c r="K19" t="s">
        <v>131</v>
      </c>
      <c r="L19" s="8">
        <v>5</v>
      </c>
      <c r="M19" s="12">
        <v>115000</v>
      </c>
      <c r="N19" s="10">
        <v>0.2</v>
      </c>
      <c r="O19" s="12">
        <v>460000</v>
      </c>
      <c r="P19" s="12">
        <v>118658.26</v>
      </c>
      <c r="Q19" s="12">
        <v>222.19</v>
      </c>
      <c r="R19" t="s">
        <v>29</v>
      </c>
      <c r="U19" s="12">
        <f>Table2[[#This Row],[Quantity]]*Table2[[#This Row],[Unit_Price]]*(1-Table2[[#This Row],[ Discount]])</f>
        <v>460000</v>
      </c>
      <c r="V19" s="10">
        <f>Table2[[#This Row],[Profit]]/Table2[[#This Row],[Sales_Amount]]</f>
        <v>0.25795273913043476</v>
      </c>
      <c r="W19" t="str">
        <f>IF(Table2[[#This Row],[Sales_Amount]]&gt;10000,"High Value","Normal")</f>
        <v>High Value</v>
      </c>
      <c r="X19" t="str">
        <f t="shared" si="0"/>
        <v>High</v>
      </c>
      <c r="Y19" s="25">
        <f t="shared" si="1"/>
        <v>45292</v>
      </c>
      <c r="Z19">
        <f t="shared" si="2"/>
        <v>2024</v>
      </c>
    </row>
    <row r="20" spans="1:26" x14ac:dyDescent="0.3">
      <c r="A20" t="s">
        <v>132</v>
      </c>
      <c r="B20" s="4" t="s">
        <v>133</v>
      </c>
      <c r="C20" t="s">
        <v>134</v>
      </c>
      <c r="D20" t="s">
        <v>135</v>
      </c>
      <c r="E20" t="s">
        <v>67</v>
      </c>
      <c r="F20" t="s">
        <v>23</v>
      </c>
      <c r="G20" t="s">
        <v>24</v>
      </c>
      <c r="H20" t="s">
        <v>68</v>
      </c>
      <c r="I20" t="s">
        <v>26</v>
      </c>
      <c r="J20" t="s">
        <v>69</v>
      </c>
      <c r="K20" t="s">
        <v>136</v>
      </c>
      <c r="L20" s="8">
        <v>1</v>
      </c>
      <c r="M20" s="12">
        <v>42000</v>
      </c>
      <c r="N20" s="10">
        <v>0</v>
      </c>
      <c r="O20" s="12">
        <v>42000</v>
      </c>
      <c r="P20" s="12">
        <v>6129.87</v>
      </c>
      <c r="Q20" s="12">
        <v>272.36</v>
      </c>
      <c r="R20" t="s">
        <v>64</v>
      </c>
      <c r="U20" s="12">
        <f>Table2[[#This Row],[Quantity]]*Table2[[#This Row],[Unit_Price]]*(1-Table2[[#This Row],[ Discount]])</f>
        <v>42000</v>
      </c>
      <c r="V20" s="10">
        <f>Table2[[#This Row],[Profit]]/Table2[[#This Row],[Sales_Amount]]</f>
        <v>0.1459492857142857</v>
      </c>
      <c r="W20" t="str">
        <f>IF(Table2[[#This Row],[Sales_Amount]]&gt;10000,"High Value","Normal")</f>
        <v>High Value</v>
      </c>
      <c r="X20" t="str">
        <f t="shared" si="0"/>
        <v>No Discount</v>
      </c>
      <c r="Y20" s="25">
        <f t="shared" si="1"/>
        <v>45292</v>
      </c>
      <c r="Z20">
        <f t="shared" si="2"/>
        <v>2024</v>
      </c>
    </row>
    <row r="21" spans="1:26" x14ac:dyDescent="0.3">
      <c r="A21" t="s">
        <v>137</v>
      </c>
      <c r="B21" s="4" t="s">
        <v>138</v>
      </c>
      <c r="C21" t="s">
        <v>122</v>
      </c>
      <c r="D21" t="s">
        <v>123</v>
      </c>
      <c r="E21" t="s">
        <v>52</v>
      </c>
      <c r="F21" t="s">
        <v>106</v>
      </c>
      <c r="G21" t="s">
        <v>107</v>
      </c>
      <c r="H21" t="s">
        <v>139</v>
      </c>
      <c r="I21" t="s">
        <v>36</v>
      </c>
      <c r="J21" t="s">
        <v>140</v>
      </c>
      <c r="K21" t="s">
        <v>141</v>
      </c>
      <c r="L21" s="8">
        <v>3</v>
      </c>
      <c r="M21" s="12">
        <v>2200</v>
      </c>
      <c r="N21" s="10">
        <v>0</v>
      </c>
      <c r="O21" s="12">
        <v>6600</v>
      </c>
      <c r="P21" s="12">
        <v>707.72</v>
      </c>
      <c r="Q21" s="12">
        <v>464</v>
      </c>
      <c r="R21" t="s">
        <v>29</v>
      </c>
      <c r="U21" s="12">
        <f>Table2[[#This Row],[Quantity]]*Table2[[#This Row],[Unit_Price]]*(1-Table2[[#This Row],[ Discount]])</f>
        <v>6600</v>
      </c>
      <c r="V21" s="10">
        <f>Table2[[#This Row],[Profit]]/Table2[[#This Row],[Sales_Amount]]</f>
        <v>0.10723030303030304</v>
      </c>
      <c r="W21" t="str">
        <f>IF(Table2[[#This Row],[Sales_Amount]]&gt;10000,"High Value","Normal")</f>
        <v>Normal</v>
      </c>
      <c r="X21" t="str">
        <f t="shared" si="0"/>
        <v>No Discount</v>
      </c>
      <c r="Y21" s="25">
        <f t="shared" si="1"/>
        <v>45292</v>
      </c>
      <c r="Z21">
        <f t="shared" si="2"/>
        <v>2024</v>
      </c>
    </row>
    <row r="22" spans="1:26" x14ac:dyDescent="0.3">
      <c r="A22" t="s">
        <v>142</v>
      </c>
      <c r="B22" s="4" t="s">
        <v>59</v>
      </c>
      <c r="C22" t="s">
        <v>143</v>
      </c>
      <c r="D22" t="s">
        <v>144</v>
      </c>
      <c r="E22" t="s">
        <v>67</v>
      </c>
      <c r="F22" t="s">
        <v>23</v>
      </c>
      <c r="G22" t="s">
        <v>74</v>
      </c>
      <c r="H22" t="s">
        <v>75</v>
      </c>
      <c r="I22" t="s">
        <v>26</v>
      </c>
      <c r="J22" t="s">
        <v>69</v>
      </c>
      <c r="K22" t="s">
        <v>145</v>
      </c>
      <c r="L22" s="8">
        <v>4</v>
      </c>
      <c r="M22" s="12">
        <v>55000</v>
      </c>
      <c r="N22" s="10">
        <v>0</v>
      </c>
      <c r="O22" s="12">
        <v>220000</v>
      </c>
      <c r="P22" s="12">
        <v>53035.59</v>
      </c>
      <c r="Q22" s="12">
        <v>102.73</v>
      </c>
      <c r="R22" t="s">
        <v>57</v>
      </c>
      <c r="U22" s="12">
        <f>Table2[[#This Row],[Quantity]]*Table2[[#This Row],[Unit_Price]]*(1-Table2[[#This Row],[ Discount]])</f>
        <v>220000</v>
      </c>
      <c r="V22" s="10">
        <f>Table2[[#This Row],[Profit]]/Table2[[#This Row],[Sales_Amount]]</f>
        <v>0.24107086363636362</v>
      </c>
      <c r="W22" t="str">
        <f>IF(Table2[[#This Row],[Sales_Amount]]&gt;10000,"High Value","Normal")</f>
        <v>High Value</v>
      </c>
      <c r="X22" t="str">
        <f t="shared" si="0"/>
        <v>No Discount</v>
      </c>
      <c r="Y22" s="25">
        <f t="shared" si="1"/>
        <v>45292</v>
      </c>
      <c r="Z22">
        <f t="shared" si="2"/>
        <v>2024</v>
      </c>
    </row>
    <row r="23" spans="1:26" x14ac:dyDescent="0.3">
      <c r="A23" t="s">
        <v>146</v>
      </c>
      <c r="B23" s="4" t="s">
        <v>99</v>
      </c>
      <c r="C23" t="s">
        <v>147</v>
      </c>
      <c r="D23" t="s">
        <v>148</v>
      </c>
      <c r="E23" t="s">
        <v>22</v>
      </c>
      <c r="F23" t="s">
        <v>106</v>
      </c>
      <c r="G23" t="s">
        <v>149</v>
      </c>
      <c r="H23" t="s">
        <v>150</v>
      </c>
      <c r="I23" t="s">
        <v>26</v>
      </c>
      <c r="J23" t="s">
        <v>91</v>
      </c>
      <c r="K23" t="s">
        <v>109</v>
      </c>
      <c r="L23" s="8">
        <v>3</v>
      </c>
      <c r="M23" s="12">
        <v>8000</v>
      </c>
      <c r="N23" s="10">
        <v>0.15</v>
      </c>
      <c r="O23" s="12">
        <v>20400</v>
      </c>
      <c r="P23" s="12">
        <v>5548.64</v>
      </c>
      <c r="Q23" s="12">
        <v>290.73</v>
      </c>
      <c r="R23" t="s">
        <v>39</v>
      </c>
      <c r="U23" s="12">
        <f>Table2[[#This Row],[Quantity]]*Table2[[#This Row],[Unit_Price]]*(1-Table2[[#This Row],[ Discount]])</f>
        <v>20400</v>
      </c>
      <c r="V23" s="10">
        <f>Table2[[#This Row],[Profit]]/Table2[[#This Row],[Sales_Amount]]</f>
        <v>0.27199215686274514</v>
      </c>
      <c r="W23" t="str">
        <f>IF(Table2[[#This Row],[Sales_Amount]]&gt;10000,"High Value","Normal")</f>
        <v>High Value</v>
      </c>
      <c r="X23" t="str">
        <f t="shared" si="0"/>
        <v>High</v>
      </c>
      <c r="Y23" s="25">
        <f t="shared" si="1"/>
        <v>45292</v>
      </c>
      <c r="Z23">
        <f t="shared" si="2"/>
        <v>2024</v>
      </c>
    </row>
    <row r="24" spans="1:26" x14ac:dyDescent="0.3">
      <c r="A24" t="s">
        <v>151</v>
      </c>
      <c r="B24" s="4" t="s">
        <v>88</v>
      </c>
      <c r="C24" t="s">
        <v>72</v>
      </c>
      <c r="D24" t="s">
        <v>73</v>
      </c>
      <c r="E24" t="s">
        <v>52</v>
      </c>
      <c r="F24" t="s">
        <v>23</v>
      </c>
      <c r="G24" t="s">
        <v>74</v>
      </c>
      <c r="H24" t="s">
        <v>152</v>
      </c>
      <c r="I24" t="s">
        <v>26</v>
      </c>
      <c r="J24" t="s">
        <v>91</v>
      </c>
      <c r="K24" t="s">
        <v>153</v>
      </c>
      <c r="L24" s="8">
        <v>2</v>
      </c>
      <c r="M24" s="12">
        <v>800</v>
      </c>
      <c r="N24" s="10">
        <v>0</v>
      </c>
      <c r="O24" s="12">
        <v>1600</v>
      </c>
      <c r="P24" s="12">
        <v>406.68</v>
      </c>
      <c r="Q24" s="12">
        <v>372.62</v>
      </c>
      <c r="R24" t="s">
        <v>57</v>
      </c>
      <c r="U24" s="12">
        <f>Table2[[#This Row],[Quantity]]*Table2[[#This Row],[Unit_Price]]*(1-Table2[[#This Row],[ Discount]])</f>
        <v>1600</v>
      </c>
      <c r="V24" s="10">
        <f>Table2[[#This Row],[Profit]]/Table2[[#This Row],[Sales_Amount]]</f>
        <v>0.25417499999999998</v>
      </c>
      <c r="W24" t="str">
        <f>IF(Table2[[#This Row],[Sales_Amount]]&gt;10000,"High Value","Normal")</f>
        <v>Normal</v>
      </c>
      <c r="X24" t="str">
        <f t="shared" si="0"/>
        <v>No Discount</v>
      </c>
      <c r="Y24" s="25">
        <f t="shared" si="1"/>
        <v>45292</v>
      </c>
      <c r="Z24">
        <f t="shared" si="2"/>
        <v>2024</v>
      </c>
    </row>
    <row r="25" spans="1:26" x14ac:dyDescent="0.3">
      <c r="A25" t="s">
        <v>154</v>
      </c>
      <c r="B25" s="4" t="s">
        <v>82</v>
      </c>
      <c r="C25" t="s">
        <v>127</v>
      </c>
      <c r="D25" t="s">
        <v>128</v>
      </c>
      <c r="E25" t="s">
        <v>52</v>
      </c>
      <c r="F25" t="s">
        <v>106</v>
      </c>
      <c r="G25" t="s">
        <v>107</v>
      </c>
      <c r="H25" t="s">
        <v>108</v>
      </c>
      <c r="I25" t="s">
        <v>26</v>
      </c>
      <c r="J25" t="s">
        <v>69</v>
      </c>
      <c r="K25" t="s">
        <v>80</v>
      </c>
      <c r="L25" s="8">
        <v>1</v>
      </c>
      <c r="M25" s="12">
        <v>50000</v>
      </c>
      <c r="N25" s="10">
        <v>0</v>
      </c>
      <c r="O25" s="12">
        <v>50000</v>
      </c>
      <c r="P25" s="12">
        <v>8965.57</v>
      </c>
      <c r="Q25" s="12">
        <v>484.99</v>
      </c>
      <c r="R25" t="s">
        <v>39</v>
      </c>
      <c r="U25" s="12">
        <f>Table2[[#This Row],[Quantity]]*Table2[[#This Row],[Unit_Price]]*(1-Table2[[#This Row],[ Discount]])</f>
        <v>50000</v>
      </c>
      <c r="V25" s="10">
        <f>Table2[[#This Row],[Profit]]/Table2[[#This Row],[Sales_Amount]]</f>
        <v>0.17931139999999998</v>
      </c>
      <c r="W25" t="str">
        <f>IF(Table2[[#This Row],[Sales_Amount]]&gt;10000,"High Value","Normal")</f>
        <v>High Value</v>
      </c>
      <c r="X25" t="str">
        <f t="shared" si="0"/>
        <v>No Discount</v>
      </c>
      <c r="Y25" s="25">
        <f t="shared" si="1"/>
        <v>45292</v>
      </c>
      <c r="Z25">
        <f t="shared" si="2"/>
        <v>2024</v>
      </c>
    </row>
    <row r="26" spans="1:26" x14ac:dyDescent="0.3">
      <c r="A26" t="s">
        <v>155</v>
      </c>
      <c r="B26" s="4" t="s">
        <v>156</v>
      </c>
      <c r="C26" t="s">
        <v>157</v>
      </c>
      <c r="D26" t="s">
        <v>158</v>
      </c>
      <c r="E26" t="s">
        <v>52</v>
      </c>
      <c r="F26" t="s">
        <v>23</v>
      </c>
      <c r="G26" t="s">
        <v>74</v>
      </c>
      <c r="H26" t="s">
        <v>75</v>
      </c>
      <c r="I26" t="s">
        <v>36</v>
      </c>
      <c r="J26" t="s">
        <v>113</v>
      </c>
      <c r="K26" t="s">
        <v>159</v>
      </c>
      <c r="L26" s="8">
        <v>2</v>
      </c>
      <c r="M26" s="12">
        <v>1500</v>
      </c>
      <c r="N26" s="10">
        <v>0.2</v>
      </c>
      <c r="O26" s="12">
        <v>2400</v>
      </c>
      <c r="P26" s="12">
        <v>271.91000000000003</v>
      </c>
      <c r="Q26" s="12">
        <v>249.77</v>
      </c>
      <c r="R26" t="s">
        <v>64</v>
      </c>
      <c r="U26" s="12">
        <f>Table2[[#This Row],[Quantity]]*Table2[[#This Row],[Unit_Price]]*(1-Table2[[#This Row],[ Discount]])</f>
        <v>2400</v>
      </c>
      <c r="V26" s="10">
        <f>Table2[[#This Row],[Profit]]/Table2[[#This Row],[Sales_Amount]]</f>
        <v>0.11329583333333335</v>
      </c>
      <c r="W26" t="str">
        <f>IF(Table2[[#This Row],[Sales_Amount]]&gt;10000,"High Value","Normal")</f>
        <v>Normal</v>
      </c>
      <c r="X26" t="str">
        <f t="shared" si="0"/>
        <v>High</v>
      </c>
      <c r="Y26" s="25">
        <f t="shared" si="1"/>
        <v>45323</v>
      </c>
      <c r="Z26">
        <f t="shared" si="2"/>
        <v>2024</v>
      </c>
    </row>
    <row r="27" spans="1:26" x14ac:dyDescent="0.3">
      <c r="A27" t="s">
        <v>160</v>
      </c>
      <c r="B27" s="4" t="s">
        <v>161</v>
      </c>
      <c r="C27" t="s">
        <v>162</v>
      </c>
      <c r="D27" t="s">
        <v>163</v>
      </c>
      <c r="E27" t="s">
        <v>52</v>
      </c>
      <c r="F27" t="s">
        <v>53</v>
      </c>
      <c r="G27" t="s">
        <v>54</v>
      </c>
      <c r="H27" t="s">
        <v>55</v>
      </c>
      <c r="I27" t="s">
        <v>26</v>
      </c>
      <c r="J27" t="s">
        <v>27</v>
      </c>
      <c r="K27" t="s">
        <v>76</v>
      </c>
      <c r="L27" s="8">
        <v>3</v>
      </c>
      <c r="M27" s="12">
        <v>75000</v>
      </c>
      <c r="N27" s="10">
        <v>0.2</v>
      </c>
      <c r="O27" s="12">
        <v>180000</v>
      </c>
      <c r="P27" s="12">
        <v>34416.1</v>
      </c>
      <c r="Q27" s="12">
        <v>180.55</v>
      </c>
      <c r="R27" t="s">
        <v>29</v>
      </c>
      <c r="U27" s="12">
        <f>Table2[[#This Row],[Quantity]]*Table2[[#This Row],[Unit_Price]]*(1-Table2[[#This Row],[ Discount]])</f>
        <v>180000</v>
      </c>
      <c r="V27" s="10">
        <f>Table2[[#This Row],[Profit]]/Table2[[#This Row],[Sales_Amount]]</f>
        <v>0.19120055555555554</v>
      </c>
      <c r="W27" t="str">
        <f>IF(Table2[[#This Row],[Sales_Amount]]&gt;10000,"High Value","Normal")</f>
        <v>High Value</v>
      </c>
      <c r="X27" t="str">
        <f t="shared" si="0"/>
        <v>High</v>
      </c>
      <c r="Y27" s="25">
        <f t="shared" si="1"/>
        <v>45323</v>
      </c>
      <c r="Z27">
        <f t="shared" si="2"/>
        <v>2024</v>
      </c>
    </row>
    <row r="28" spans="1:26" x14ac:dyDescent="0.3">
      <c r="A28" t="s">
        <v>164</v>
      </c>
      <c r="B28" s="4" t="s">
        <v>165</v>
      </c>
      <c r="C28" t="s">
        <v>166</v>
      </c>
      <c r="D28" t="s">
        <v>167</v>
      </c>
      <c r="E28" t="s">
        <v>52</v>
      </c>
      <c r="F28" t="s">
        <v>106</v>
      </c>
      <c r="G28" t="s">
        <v>149</v>
      </c>
      <c r="H28" t="s">
        <v>150</v>
      </c>
      <c r="I28" t="s">
        <v>36</v>
      </c>
      <c r="J28" t="s">
        <v>140</v>
      </c>
      <c r="K28" t="s">
        <v>168</v>
      </c>
      <c r="L28" s="8">
        <v>3</v>
      </c>
      <c r="M28" s="12">
        <v>1800</v>
      </c>
      <c r="N28" s="10">
        <v>0.2</v>
      </c>
      <c r="O28" s="12">
        <v>4320</v>
      </c>
      <c r="P28" s="12">
        <v>1061.9000000000001</v>
      </c>
      <c r="Q28" s="12">
        <v>65.56</v>
      </c>
      <c r="R28" t="s">
        <v>64</v>
      </c>
      <c r="U28" s="12">
        <f>Table2[[#This Row],[Quantity]]*Table2[[#This Row],[Unit_Price]]*(1-Table2[[#This Row],[ Discount]])</f>
        <v>4320</v>
      </c>
      <c r="V28" s="10">
        <f>Table2[[#This Row],[Profit]]/Table2[[#This Row],[Sales_Amount]]</f>
        <v>0.24581018518518521</v>
      </c>
      <c r="W28" t="str">
        <f>IF(Table2[[#This Row],[Sales_Amount]]&gt;10000,"High Value","Normal")</f>
        <v>Normal</v>
      </c>
      <c r="X28" t="str">
        <f t="shared" si="0"/>
        <v>High</v>
      </c>
      <c r="Y28" s="25">
        <f t="shared" si="1"/>
        <v>45323</v>
      </c>
      <c r="Z28">
        <f t="shared" si="2"/>
        <v>2024</v>
      </c>
    </row>
    <row r="29" spans="1:26" x14ac:dyDescent="0.3">
      <c r="A29" t="s">
        <v>169</v>
      </c>
      <c r="B29" s="4" t="s">
        <v>170</v>
      </c>
      <c r="C29" t="s">
        <v>171</v>
      </c>
      <c r="D29" t="s">
        <v>172</v>
      </c>
      <c r="E29" t="s">
        <v>22</v>
      </c>
      <c r="F29" t="s">
        <v>23</v>
      </c>
      <c r="G29" t="s">
        <v>74</v>
      </c>
      <c r="H29" t="s">
        <v>152</v>
      </c>
      <c r="I29" t="s">
        <v>47</v>
      </c>
      <c r="J29" t="s">
        <v>119</v>
      </c>
      <c r="K29" t="s">
        <v>173</v>
      </c>
      <c r="L29" s="8">
        <v>4</v>
      </c>
      <c r="M29" s="12">
        <v>1000</v>
      </c>
      <c r="N29" s="10">
        <v>0.1</v>
      </c>
      <c r="O29" s="12">
        <v>3600</v>
      </c>
      <c r="P29" s="12">
        <v>803.24</v>
      </c>
      <c r="Q29" s="12">
        <v>398.63</v>
      </c>
      <c r="R29" t="s">
        <v>57</v>
      </c>
      <c r="U29" s="12">
        <f>Table2[[#This Row],[Quantity]]*Table2[[#This Row],[Unit_Price]]*(1-Table2[[#This Row],[ Discount]])</f>
        <v>3600</v>
      </c>
      <c r="V29" s="10">
        <f>Table2[[#This Row],[Profit]]/Table2[[#This Row],[Sales_Amount]]</f>
        <v>0.22312222222222222</v>
      </c>
      <c r="W29" t="str">
        <f>IF(Table2[[#This Row],[Sales_Amount]]&gt;10000,"High Value","Normal")</f>
        <v>Normal</v>
      </c>
      <c r="X29" t="str">
        <f t="shared" si="0"/>
        <v>Medium</v>
      </c>
      <c r="Y29" s="25">
        <f t="shared" si="1"/>
        <v>45323</v>
      </c>
      <c r="Z29">
        <f t="shared" si="2"/>
        <v>2024</v>
      </c>
    </row>
    <row r="30" spans="1:26" x14ac:dyDescent="0.3">
      <c r="A30" t="s">
        <v>174</v>
      </c>
      <c r="B30" s="4" t="s">
        <v>175</v>
      </c>
      <c r="C30" t="s">
        <v>32</v>
      </c>
      <c r="D30" t="s">
        <v>33</v>
      </c>
      <c r="E30" t="s">
        <v>52</v>
      </c>
      <c r="F30" t="s">
        <v>23</v>
      </c>
      <c r="G30" t="s">
        <v>24</v>
      </c>
      <c r="H30" t="s">
        <v>68</v>
      </c>
      <c r="I30" t="s">
        <v>47</v>
      </c>
      <c r="J30" t="s">
        <v>48</v>
      </c>
      <c r="K30" t="s">
        <v>97</v>
      </c>
      <c r="L30" s="8">
        <v>1</v>
      </c>
      <c r="M30" s="12">
        <v>1500</v>
      </c>
      <c r="N30" s="10">
        <v>0.05</v>
      </c>
      <c r="O30" s="12">
        <v>1425</v>
      </c>
      <c r="P30" s="12">
        <v>115.23</v>
      </c>
      <c r="Q30" s="12">
        <v>474.62</v>
      </c>
      <c r="R30" t="s">
        <v>57</v>
      </c>
      <c r="U30" s="12">
        <f>Table2[[#This Row],[Quantity]]*Table2[[#This Row],[Unit_Price]]*(1-Table2[[#This Row],[ Discount]])</f>
        <v>1425</v>
      </c>
      <c r="V30" s="10">
        <f>Table2[[#This Row],[Profit]]/Table2[[#This Row],[Sales_Amount]]</f>
        <v>8.0863157894736845E-2</v>
      </c>
      <c r="W30" t="str">
        <f>IF(Table2[[#This Row],[Sales_Amount]]&gt;10000,"High Value","Normal")</f>
        <v>Normal</v>
      </c>
      <c r="X30" t="str">
        <f t="shared" si="0"/>
        <v>Low</v>
      </c>
      <c r="Y30" s="25">
        <f t="shared" si="1"/>
        <v>45323</v>
      </c>
      <c r="Z30">
        <f t="shared" si="2"/>
        <v>2024</v>
      </c>
    </row>
    <row r="31" spans="1:26" x14ac:dyDescent="0.3">
      <c r="A31" t="s">
        <v>176</v>
      </c>
      <c r="B31" s="4" t="s">
        <v>177</v>
      </c>
      <c r="C31" t="s">
        <v>178</v>
      </c>
      <c r="D31" t="s">
        <v>179</v>
      </c>
      <c r="E31" t="s">
        <v>22</v>
      </c>
      <c r="F31" t="s">
        <v>106</v>
      </c>
      <c r="G31" t="s">
        <v>149</v>
      </c>
      <c r="H31" t="s">
        <v>180</v>
      </c>
      <c r="I31" t="s">
        <v>26</v>
      </c>
      <c r="J31" t="s">
        <v>91</v>
      </c>
      <c r="K31" t="s">
        <v>153</v>
      </c>
      <c r="L31" s="8">
        <v>2</v>
      </c>
      <c r="M31" s="12">
        <v>800</v>
      </c>
      <c r="N31" s="10">
        <v>0</v>
      </c>
      <c r="O31" s="12">
        <v>1600</v>
      </c>
      <c r="P31" s="12">
        <v>426.45</v>
      </c>
      <c r="Q31" s="12">
        <v>66.02</v>
      </c>
      <c r="R31" t="s">
        <v>29</v>
      </c>
      <c r="U31" s="12">
        <f>Table2[[#This Row],[Quantity]]*Table2[[#This Row],[Unit_Price]]*(1-Table2[[#This Row],[ Discount]])</f>
        <v>1600</v>
      </c>
      <c r="V31" s="10">
        <f>Table2[[#This Row],[Profit]]/Table2[[#This Row],[Sales_Amount]]</f>
        <v>0.26653125</v>
      </c>
      <c r="W31" t="str">
        <f>IF(Table2[[#This Row],[Sales_Amount]]&gt;10000,"High Value","Normal")</f>
        <v>Normal</v>
      </c>
      <c r="X31" t="str">
        <f t="shared" si="0"/>
        <v>No Discount</v>
      </c>
      <c r="Y31" s="25">
        <f t="shared" si="1"/>
        <v>45323</v>
      </c>
      <c r="Z31">
        <f t="shared" si="2"/>
        <v>2024</v>
      </c>
    </row>
    <row r="32" spans="1:26" x14ac:dyDescent="0.3">
      <c r="A32" t="s">
        <v>181</v>
      </c>
      <c r="B32" s="4" t="s">
        <v>182</v>
      </c>
      <c r="C32" t="s">
        <v>166</v>
      </c>
      <c r="D32" t="s">
        <v>167</v>
      </c>
      <c r="E32" t="s">
        <v>52</v>
      </c>
      <c r="F32" t="s">
        <v>23</v>
      </c>
      <c r="G32" t="s">
        <v>34</v>
      </c>
      <c r="H32" t="s">
        <v>35</v>
      </c>
      <c r="I32" t="s">
        <v>26</v>
      </c>
      <c r="J32" t="s">
        <v>69</v>
      </c>
      <c r="K32" t="s">
        <v>136</v>
      </c>
      <c r="L32" s="8">
        <v>1</v>
      </c>
      <c r="M32" s="12">
        <v>42000</v>
      </c>
      <c r="N32" s="10">
        <v>0</v>
      </c>
      <c r="O32" s="12">
        <v>42000</v>
      </c>
      <c r="P32" s="12">
        <v>7576.48</v>
      </c>
      <c r="Q32" s="12">
        <v>154.68</v>
      </c>
      <c r="R32" t="s">
        <v>29</v>
      </c>
      <c r="U32" s="12">
        <f>Table2[[#This Row],[Quantity]]*Table2[[#This Row],[Unit_Price]]*(1-Table2[[#This Row],[ Discount]])</f>
        <v>42000</v>
      </c>
      <c r="V32" s="10">
        <f>Table2[[#This Row],[Profit]]/Table2[[#This Row],[Sales_Amount]]</f>
        <v>0.18039238095238094</v>
      </c>
      <c r="W32" t="str">
        <f>IF(Table2[[#This Row],[Sales_Amount]]&gt;10000,"High Value","Normal")</f>
        <v>High Value</v>
      </c>
      <c r="X32" t="str">
        <f t="shared" si="0"/>
        <v>No Discount</v>
      </c>
      <c r="Y32" s="25">
        <f t="shared" si="1"/>
        <v>45323</v>
      </c>
      <c r="Z32">
        <f t="shared" si="2"/>
        <v>2024</v>
      </c>
    </row>
    <row r="33" spans="1:26" x14ac:dyDescent="0.3">
      <c r="A33" t="s">
        <v>183</v>
      </c>
      <c r="B33" s="4" t="s">
        <v>184</v>
      </c>
      <c r="C33" t="s">
        <v>185</v>
      </c>
      <c r="D33" t="s">
        <v>186</v>
      </c>
      <c r="E33" t="s">
        <v>52</v>
      </c>
      <c r="F33" t="s">
        <v>53</v>
      </c>
      <c r="G33" t="s">
        <v>100</v>
      </c>
      <c r="H33" t="s">
        <v>101</v>
      </c>
      <c r="I33" t="s">
        <v>26</v>
      </c>
      <c r="J33" t="s">
        <v>27</v>
      </c>
      <c r="K33" t="s">
        <v>187</v>
      </c>
      <c r="L33" s="8">
        <v>2</v>
      </c>
      <c r="M33" s="12">
        <v>18000</v>
      </c>
      <c r="N33" s="10">
        <v>0</v>
      </c>
      <c r="O33" s="12">
        <v>36000</v>
      </c>
      <c r="P33" s="12">
        <v>8934.49</v>
      </c>
      <c r="Q33" s="12">
        <v>165.44</v>
      </c>
      <c r="R33" t="s">
        <v>39</v>
      </c>
      <c r="U33" s="12">
        <f>Table2[[#This Row],[Quantity]]*Table2[[#This Row],[Unit_Price]]*(1-Table2[[#This Row],[ Discount]])</f>
        <v>36000</v>
      </c>
      <c r="V33" s="10">
        <f>Table2[[#This Row],[Profit]]/Table2[[#This Row],[Sales_Amount]]</f>
        <v>0.24818027777777776</v>
      </c>
      <c r="W33" t="str">
        <f>IF(Table2[[#This Row],[Sales_Amount]]&gt;10000,"High Value","Normal")</f>
        <v>High Value</v>
      </c>
      <c r="X33" t="str">
        <f t="shared" si="0"/>
        <v>No Discount</v>
      </c>
      <c r="Y33" s="25">
        <f t="shared" si="1"/>
        <v>45323</v>
      </c>
      <c r="Z33">
        <f t="shared" si="2"/>
        <v>2024</v>
      </c>
    </row>
    <row r="34" spans="1:26" x14ac:dyDescent="0.3">
      <c r="A34" t="s">
        <v>188</v>
      </c>
      <c r="B34" s="4" t="s">
        <v>189</v>
      </c>
      <c r="C34" t="s">
        <v>171</v>
      </c>
      <c r="D34" t="s">
        <v>172</v>
      </c>
      <c r="E34" t="s">
        <v>22</v>
      </c>
      <c r="F34" t="s">
        <v>23</v>
      </c>
      <c r="G34" t="s">
        <v>74</v>
      </c>
      <c r="H34" t="s">
        <v>75</v>
      </c>
      <c r="I34" t="s">
        <v>47</v>
      </c>
      <c r="J34" t="s">
        <v>119</v>
      </c>
      <c r="K34" t="s">
        <v>120</v>
      </c>
      <c r="L34" s="8">
        <v>1</v>
      </c>
      <c r="M34" s="12">
        <v>1800</v>
      </c>
      <c r="N34" s="10">
        <v>0</v>
      </c>
      <c r="O34" s="12">
        <v>1800</v>
      </c>
      <c r="P34" s="12">
        <v>234.18</v>
      </c>
      <c r="Q34" s="12">
        <v>395.2</v>
      </c>
      <c r="R34" t="s">
        <v>64</v>
      </c>
      <c r="U34" s="12">
        <f>Table2[[#This Row],[Quantity]]*Table2[[#This Row],[Unit_Price]]*(1-Table2[[#This Row],[ Discount]])</f>
        <v>1800</v>
      </c>
      <c r="V34" s="10">
        <f>Table2[[#This Row],[Profit]]/Table2[[#This Row],[Sales_Amount]]</f>
        <v>0.13009999999999999</v>
      </c>
      <c r="W34" t="str">
        <f>IF(Table2[[#This Row],[Sales_Amount]]&gt;10000,"High Value","Normal")</f>
        <v>Normal</v>
      </c>
      <c r="X34" t="str">
        <f t="shared" si="0"/>
        <v>No Discount</v>
      </c>
      <c r="Y34" s="25">
        <f t="shared" si="1"/>
        <v>45323</v>
      </c>
      <c r="Z34">
        <f t="shared" si="2"/>
        <v>2024</v>
      </c>
    </row>
    <row r="35" spans="1:26" x14ac:dyDescent="0.3">
      <c r="A35" t="s">
        <v>190</v>
      </c>
      <c r="B35" s="4" t="s">
        <v>191</v>
      </c>
      <c r="C35" t="s">
        <v>20</v>
      </c>
      <c r="D35" t="s">
        <v>21</v>
      </c>
      <c r="E35" t="s">
        <v>52</v>
      </c>
      <c r="F35" t="s">
        <v>44</v>
      </c>
      <c r="G35" t="s">
        <v>192</v>
      </c>
      <c r="H35" t="s">
        <v>193</v>
      </c>
      <c r="I35" t="s">
        <v>26</v>
      </c>
      <c r="J35" t="s">
        <v>69</v>
      </c>
      <c r="K35" t="s">
        <v>80</v>
      </c>
      <c r="L35" s="8">
        <v>1</v>
      </c>
      <c r="M35" s="12">
        <v>50000</v>
      </c>
      <c r="N35" s="10">
        <v>0.15</v>
      </c>
      <c r="O35" s="12">
        <v>42500</v>
      </c>
      <c r="P35" s="12">
        <v>5889.25</v>
      </c>
      <c r="Q35" s="12">
        <v>170.7</v>
      </c>
      <c r="R35" t="s">
        <v>64</v>
      </c>
      <c r="U35" s="12">
        <f>Table2[[#This Row],[Quantity]]*Table2[[#This Row],[Unit_Price]]*(1-Table2[[#This Row],[ Discount]])</f>
        <v>42500</v>
      </c>
      <c r="V35" s="10">
        <f>Table2[[#This Row],[Profit]]/Table2[[#This Row],[Sales_Amount]]</f>
        <v>0.13857058823529411</v>
      </c>
      <c r="W35" t="str">
        <f>IF(Table2[[#This Row],[Sales_Amount]]&gt;10000,"High Value","Normal")</f>
        <v>High Value</v>
      </c>
      <c r="X35" t="str">
        <f t="shared" si="0"/>
        <v>High</v>
      </c>
      <c r="Y35" s="25">
        <f t="shared" si="1"/>
        <v>45323</v>
      </c>
      <c r="Z35">
        <f t="shared" si="2"/>
        <v>2024</v>
      </c>
    </row>
    <row r="36" spans="1:26" x14ac:dyDescent="0.3">
      <c r="A36" t="s">
        <v>194</v>
      </c>
      <c r="B36" s="4" t="s">
        <v>195</v>
      </c>
      <c r="C36" t="s">
        <v>162</v>
      </c>
      <c r="D36" t="s">
        <v>163</v>
      </c>
      <c r="E36" t="s">
        <v>22</v>
      </c>
      <c r="F36" t="s">
        <v>106</v>
      </c>
      <c r="G36" t="s">
        <v>149</v>
      </c>
      <c r="H36" t="s">
        <v>150</v>
      </c>
      <c r="I36" t="s">
        <v>47</v>
      </c>
      <c r="J36" t="s">
        <v>48</v>
      </c>
      <c r="K36" t="s">
        <v>196</v>
      </c>
      <c r="L36" s="8">
        <v>3</v>
      </c>
      <c r="M36" s="12">
        <v>2500</v>
      </c>
      <c r="N36" s="10">
        <v>0.05</v>
      </c>
      <c r="O36" s="12">
        <v>7125</v>
      </c>
      <c r="P36" s="12">
        <v>772.77</v>
      </c>
      <c r="Q36" s="12">
        <v>187.28</v>
      </c>
      <c r="R36" t="s">
        <v>64</v>
      </c>
      <c r="U36" s="12">
        <f>Table2[[#This Row],[Quantity]]*Table2[[#This Row],[Unit_Price]]*(1-Table2[[#This Row],[ Discount]])</f>
        <v>7125</v>
      </c>
      <c r="V36" s="10">
        <f>Table2[[#This Row],[Profit]]/Table2[[#This Row],[Sales_Amount]]</f>
        <v>0.10845894736842104</v>
      </c>
      <c r="W36" t="str">
        <f>IF(Table2[[#This Row],[Sales_Amount]]&gt;10000,"High Value","Normal")</f>
        <v>Normal</v>
      </c>
      <c r="X36" t="str">
        <f t="shared" si="0"/>
        <v>Low</v>
      </c>
      <c r="Y36" s="25">
        <f t="shared" si="1"/>
        <v>45323</v>
      </c>
      <c r="Z36">
        <f t="shared" si="2"/>
        <v>2024</v>
      </c>
    </row>
    <row r="37" spans="1:26" x14ac:dyDescent="0.3">
      <c r="A37" t="s">
        <v>197</v>
      </c>
      <c r="B37" s="4" t="s">
        <v>184</v>
      </c>
      <c r="C37" t="s">
        <v>117</v>
      </c>
      <c r="D37" t="s">
        <v>118</v>
      </c>
      <c r="E37" t="s">
        <v>52</v>
      </c>
      <c r="F37" t="s">
        <v>44</v>
      </c>
      <c r="G37" t="s">
        <v>45</v>
      </c>
      <c r="H37" t="s">
        <v>198</v>
      </c>
      <c r="I37" t="s">
        <v>26</v>
      </c>
      <c r="J37" t="s">
        <v>91</v>
      </c>
      <c r="K37" t="s">
        <v>199</v>
      </c>
      <c r="L37" s="8">
        <v>4</v>
      </c>
      <c r="M37" s="12">
        <v>3500</v>
      </c>
      <c r="N37" s="10">
        <v>0</v>
      </c>
      <c r="O37" s="12">
        <v>14000</v>
      </c>
      <c r="P37" s="12">
        <v>2124.7399999999998</v>
      </c>
      <c r="Q37" s="12">
        <v>193.09</v>
      </c>
      <c r="R37" t="s">
        <v>29</v>
      </c>
      <c r="U37" s="12">
        <f>Table2[[#This Row],[Quantity]]*Table2[[#This Row],[Unit_Price]]*(1-Table2[[#This Row],[ Discount]])</f>
        <v>14000</v>
      </c>
      <c r="V37" s="10">
        <f>Table2[[#This Row],[Profit]]/Table2[[#This Row],[Sales_Amount]]</f>
        <v>0.15176714285714285</v>
      </c>
      <c r="W37" t="str">
        <f>IF(Table2[[#This Row],[Sales_Amount]]&gt;10000,"High Value","Normal")</f>
        <v>High Value</v>
      </c>
      <c r="X37" t="str">
        <f t="shared" si="0"/>
        <v>No Discount</v>
      </c>
      <c r="Y37" s="25">
        <f t="shared" si="1"/>
        <v>45323</v>
      </c>
      <c r="Z37">
        <f t="shared" si="2"/>
        <v>2024</v>
      </c>
    </row>
    <row r="38" spans="1:26" x14ac:dyDescent="0.3">
      <c r="A38" t="s">
        <v>200</v>
      </c>
      <c r="B38" s="4" t="s">
        <v>189</v>
      </c>
      <c r="C38" t="s">
        <v>78</v>
      </c>
      <c r="D38" t="s">
        <v>79</v>
      </c>
      <c r="E38" t="s">
        <v>52</v>
      </c>
      <c r="F38" t="s">
        <v>44</v>
      </c>
      <c r="G38" t="s">
        <v>192</v>
      </c>
      <c r="H38" t="s">
        <v>201</v>
      </c>
      <c r="I38" t="s">
        <v>26</v>
      </c>
      <c r="J38" t="s">
        <v>27</v>
      </c>
      <c r="K38" t="s">
        <v>56</v>
      </c>
      <c r="L38" s="8">
        <v>3</v>
      </c>
      <c r="M38" s="12">
        <v>55000</v>
      </c>
      <c r="N38" s="10">
        <v>0.1</v>
      </c>
      <c r="O38" s="12">
        <v>148500</v>
      </c>
      <c r="P38" s="12">
        <v>19480.810000000001</v>
      </c>
      <c r="Q38" s="12">
        <v>473.64</v>
      </c>
      <c r="R38" t="s">
        <v>39</v>
      </c>
      <c r="U38" s="12">
        <f>Table2[[#This Row],[Quantity]]*Table2[[#This Row],[Unit_Price]]*(1-Table2[[#This Row],[ Discount]])</f>
        <v>148500</v>
      </c>
      <c r="V38" s="10">
        <f>Table2[[#This Row],[Profit]]/Table2[[#This Row],[Sales_Amount]]</f>
        <v>0.13118390572390573</v>
      </c>
      <c r="W38" t="str">
        <f>IF(Table2[[#This Row],[Sales_Amount]]&gt;10000,"High Value","Normal")</f>
        <v>High Value</v>
      </c>
      <c r="X38" t="str">
        <f t="shared" si="0"/>
        <v>Medium</v>
      </c>
      <c r="Y38" s="25">
        <f t="shared" si="1"/>
        <v>45323</v>
      </c>
      <c r="Z38">
        <f t="shared" si="2"/>
        <v>2024</v>
      </c>
    </row>
    <row r="39" spans="1:26" x14ac:dyDescent="0.3">
      <c r="A39" t="s">
        <v>202</v>
      </c>
      <c r="B39" s="4" t="s">
        <v>165</v>
      </c>
      <c r="C39" t="s">
        <v>60</v>
      </c>
      <c r="D39" t="s">
        <v>61</v>
      </c>
      <c r="E39" t="s">
        <v>22</v>
      </c>
      <c r="F39" t="s">
        <v>53</v>
      </c>
      <c r="G39" t="s">
        <v>54</v>
      </c>
      <c r="H39" t="s">
        <v>203</v>
      </c>
      <c r="I39" t="s">
        <v>36</v>
      </c>
      <c r="J39" t="s">
        <v>140</v>
      </c>
      <c r="K39" t="s">
        <v>141</v>
      </c>
      <c r="L39" s="8">
        <v>4</v>
      </c>
      <c r="M39" s="12">
        <v>2200</v>
      </c>
      <c r="N39" s="10">
        <v>0.1</v>
      </c>
      <c r="O39" s="12">
        <v>7920</v>
      </c>
      <c r="P39" s="12">
        <v>2021.31</v>
      </c>
      <c r="Q39" s="12">
        <v>395.45</v>
      </c>
      <c r="R39" t="s">
        <v>64</v>
      </c>
      <c r="U39" s="12">
        <f>Table2[[#This Row],[Quantity]]*Table2[[#This Row],[Unit_Price]]*(1-Table2[[#This Row],[ Discount]])</f>
        <v>7920</v>
      </c>
      <c r="V39" s="10">
        <f>Table2[[#This Row],[Profit]]/Table2[[#This Row],[Sales_Amount]]</f>
        <v>0.25521590909090908</v>
      </c>
      <c r="W39" t="str">
        <f>IF(Table2[[#This Row],[Sales_Amount]]&gt;10000,"High Value","Normal")</f>
        <v>Normal</v>
      </c>
      <c r="X39" t="str">
        <f t="shared" si="0"/>
        <v>Medium</v>
      </c>
      <c r="Y39" s="25">
        <f t="shared" si="1"/>
        <v>45323</v>
      </c>
      <c r="Z39">
        <f t="shared" si="2"/>
        <v>2024</v>
      </c>
    </row>
    <row r="40" spans="1:26" x14ac:dyDescent="0.3">
      <c r="A40" t="s">
        <v>204</v>
      </c>
      <c r="B40" s="4" t="s">
        <v>161</v>
      </c>
      <c r="C40" t="s">
        <v>185</v>
      </c>
      <c r="D40" t="s">
        <v>186</v>
      </c>
      <c r="E40" t="s">
        <v>67</v>
      </c>
      <c r="F40" t="s">
        <v>44</v>
      </c>
      <c r="G40" t="s">
        <v>45</v>
      </c>
      <c r="H40" t="s">
        <v>198</v>
      </c>
      <c r="I40" t="s">
        <v>26</v>
      </c>
      <c r="J40" t="s">
        <v>27</v>
      </c>
      <c r="K40" t="s">
        <v>56</v>
      </c>
      <c r="L40" s="8">
        <v>3</v>
      </c>
      <c r="M40" s="12">
        <v>55000</v>
      </c>
      <c r="N40" s="10">
        <v>0</v>
      </c>
      <c r="O40" s="12">
        <v>165000</v>
      </c>
      <c r="P40" s="12">
        <v>33690.32</v>
      </c>
      <c r="Q40" s="12">
        <v>171.94</v>
      </c>
      <c r="R40" t="s">
        <v>64</v>
      </c>
      <c r="U40" s="12">
        <f>Table2[[#This Row],[Quantity]]*Table2[[#This Row],[Unit_Price]]*(1-Table2[[#This Row],[ Discount]])</f>
        <v>165000</v>
      </c>
      <c r="V40" s="10">
        <f>Table2[[#This Row],[Profit]]/Table2[[#This Row],[Sales_Amount]]</f>
        <v>0.20418375757575757</v>
      </c>
      <c r="W40" t="str">
        <f>IF(Table2[[#This Row],[Sales_Amount]]&gt;10000,"High Value","Normal")</f>
        <v>High Value</v>
      </c>
      <c r="X40" t="str">
        <f t="shared" si="0"/>
        <v>No Discount</v>
      </c>
      <c r="Y40" s="25">
        <f t="shared" si="1"/>
        <v>45323</v>
      </c>
      <c r="Z40">
        <f t="shared" si="2"/>
        <v>2024</v>
      </c>
    </row>
    <row r="41" spans="1:26" x14ac:dyDescent="0.3">
      <c r="A41" t="s">
        <v>205</v>
      </c>
      <c r="B41" s="4" t="s">
        <v>170</v>
      </c>
      <c r="C41" t="s">
        <v>206</v>
      </c>
      <c r="D41" t="s">
        <v>207</v>
      </c>
      <c r="E41" t="s">
        <v>52</v>
      </c>
      <c r="F41" t="s">
        <v>23</v>
      </c>
      <c r="G41" t="s">
        <v>34</v>
      </c>
      <c r="H41" t="s">
        <v>62</v>
      </c>
      <c r="I41" t="s">
        <v>47</v>
      </c>
      <c r="J41" t="s">
        <v>119</v>
      </c>
      <c r="K41" t="s">
        <v>208</v>
      </c>
      <c r="L41" s="8">
        <v>5</v>
      </c>
      <c r="M41" s="12">
        <v>600</v>
      </c>
      <c r="N41" s="10">
        <v>0.15</v>
      </c>
      <c r="O41" s="12">
        <v>2550</v>
      </c>
      <c r="P41" s="12">
        <v>337.58</v>
      </c>
      <c r="Q41" s="12">
        <v>399.52</v>
      </c>
      <c r="R41" t="s">
        <v>39</v>
      </c>
      <c r="U41" s="12">
        <f>Table2[[#This Row],[Quantity]]*Table2[[#This Row],[Unit_Price]]*(1-Table2[[#This Row],[ Discount]])</f>
        <v>2550</v>
      </c>
      <c r="V41" s="10">
        <f>Table2[[#This Row],[Profit]]/Table2[[#This Row],[Sales_Amount]]</f>
        <v>0.1323843137254902</v>
      </c>
      <c r="W41" t="str">
        <f>IF(Table2[[#This Row],[Sales_Amount]]&gt;10000,"High Value","Normal")</f>
        <v>Normal</v>
      </c>
      <c r="X41" t="str">
        <f t="shared" si="0"/>
        <v>High</v>
      </c>
      <c r="Y41" s="25">
        <f t="shared" si="1"/>
        <v>45323</v>
      </c>
      <c r="Z41">
        <f t="shared" si="2"/>
        <v>2024</v>
      </c>
    </row>
    <row r="42" spans="1:26" x14ac:dyDescent="0.3">
      <c r="A42" t="s">
        <v>209</v>
      </c>
      <c r="B42" s="4" t="s">
        <v>210</v>
      </c>
      <c r="C42" t="s">
        <v>211</v>
      </c>
      <c r="D42" t="s">
        <v>212</v>
      </c>
      <c r="E42" t="s">
        <v>67</v>
      </c>
      <c r="F42" t="s">
        <v>53</v>
      </c>
      <c r="G42" t="s">
        <v>100</v>
      </c>
      <c r="H42" t="s">
        <v>213</v>
      </c>
      <c r="I42" t="s">
        <v>47</v>
      </c>
      <c r="J42" t="s">
        <v>85</v>
      </c>
      <c r="K42" t="s">
        <v>102</v>
      </c>
      <c r="L42" s="8">
        <v>2</v>
      </c>
      <c r="M42" s="12">
        <v>3200</v>
      </c>
      <c r="N42" s="10">
        <v>0.1</v>
      </c>
      <c r="O42" s="12">
        <v>5760</v>
      </c>
      <c r="P42" s="12">
        <v>1259.9100000000001</v>
      </c>
      <c r="Q42" s="12">
        <v>465.17</v>
      </c>
      <c r="R42" t="s">
        <v>39</v>
      </c>
      <c r="U42" s="12">
        <f>Table2[[#This Row],[Quantity]]*Table2[[#This Row],[Unit_Price]]*(1-Table2[[#This Row],[ Discount]])</f>
        <v>5760</v>
      </c>
      <c r="V42" s="10">
        <f>Table2[[#This Row],[Profit]]/Table2[[#This Row],[Sales_Amount]]</f>
        <v>0.21873437500000001</v>
      </c>
      <c r="W42" t="str">
        <f>IF(Table2[[#This Row],[Sales_Amount]]&gt;10000,"High Value","Normal")</f>
        <v>Normal</v>
      </c>
      <c r="X42" t="str">
        <f t="shared" si="0"/>
        <v>Medium</v>
      </c>
      <c r="Y42" s="25">
        <f t="shared" si="1"/>
        <v>45323</v>
      </c>
      <c r="Z42">
        <f t="shared" si="2"/>
        <v>2024</v>
      </c>
    </row>
    <row r="43" spans="1:26" x14ac:dyDescent="0.3">
      <c r="A43" t="s">
        <v>214</v>
      </c>
      <c r="B43" s="4" t="s">
        <v>215</v>
      </c>
      <c r="C43" t="s">
        <v>89</v>
      </c>
      <c r="D43" t="s">
        <v>90</v>
      </c>
      <c r="E43" t="s">
        <v>52</v>
      </c>
      <c r="F43" t="s">
        <v>44</v>
      </c>
      <c r="G43" t="s">
        <v>216</v>
      </c>
      <c r="H43" t="s">
        <v>217</v>
      </c>
      <c r="I43" t="s">
        <v>47</v>
      </c>
      <c r="J43" t="s">
        <v>119</v>
      </c>
      <c r="K43" t="s">
        <v>173</v>
      </c>
      <c r="L43" s="8">
        <v>3</v>
      </c>
      <c r="M43" s="12">
        <v>1000</v>
      </c>
      <c r="N43" s="10">
        <v>0.1</v>
      </c>
      <c r="O43" s="12">
        <v>2700</v>
      </c>
      <c r="P43" s="12">
        <v>261.95999999999998</v>
      </c>
      <c r="Q43" s="12">
        <v>58.93</v>
      </c>
      <c r="R43" t="s">
        <v>39</v>
      </c>
      <c r="U43" s="12">
        <f>Table2[[#This Row],[Quantity]]*Table2[[#This Row],[Unit_Price]]*(1-Table2[[#This Row],[ Discount]])</f>
        <v>2700</v>
      </c>
      <c r="V43" s="10">
        <f>Table2[[#This Row],[Profit]]/Table2[[#This Row],[Sales_Amount]]</f>
        <v>9.7022222222222218E-2</v>
      </c>
      <c r="W43" t="str">
        <f>IF(Table2[[#This Row],[Sales_Amount]]&gt;10000,"High Value","Normal")</f>
        <v>Normal</v>
      </c>
      <c r="X43" t="str">
        <f t="shared" si="0"/>
        <v>Medium</v>
      </c>
      <c r="Y43" s="25">
        <f t="shared" si="1"/>
        <v>45323</v>
      </c>
      <c r="Z43">
        <f t="shared" si="2"/>
        <v>2024</v>
      </c>
    </row>
    <row r="44" spans="1:26" x14ac:dyDescent="0.3">
      <c r="A44" t="s">
        <v>218</v>
      </c>
      <c r="B44" s="4" t="s">
        <v>219</v>
      </c>
      <c r="C44" t="s">
        <v>72</v>
      </c>
      <c r="D44" t="s">
        <v>73</v>
      </c>
      <c r="E44" t="s">
        <v>67</v>
      </c>
      <c r="F44" t="s">
        <v>23</v>
      </c>
      <c r="G44" t="s">
        <v>34</v>
      </c>
      <c r="H44" t="s">
        <v>62</v>
      </c>
      <c r="I44" t="s">
        <v>36</v>
      </c>
      <c r="J44" t="s">
        <v>113</v>
      </c>
      <c r="K44" t="s">
        <v>220</v>
      </c>
      <c r="L44" s="8">
        <v>1</v>
      </c>
      <c r="M44" s="12">
        <v>1800</v>
      </c>
      <c r="N44" s="10">
        <v>0</v>
      </c>
      <c r="O44" s="12">
        <v>1800</v>
      </c>
      <c r="P44" s="12">
        <v>187.69</v>
      </c>
      <c r="Q44" s="12">
        <v>194.19</v>
      </c>
      <c r="R44" t="s">
        <v>57</v>
      </c>
      <c r="U44" s="12">
        <f>Table2[[#This Row],[Quantity]]*Table2[[#This Row],[Unit_Price]]*(1-Table2[[#This Row],[ Discount]])</f>
        <v>1800</v>
      </c>
      <c r="V44" s="10">
        <f>Table2[[#This Row],[Profit]]/Table2[[#This Row],[Sales_Amount]]</f>
        <v>0.10427222222222222</v>
      </c>
      <c r="W44" t="str">
        <f>IF(Table2[[#This Row],[Sales_Amount]]&gt;10000,"High Value","Normal")</f>
        <v>Normal</v>
      </c>
      <c r="X44" t="str">
        <f t="shared" si="0"/>
        <v>No Discount</v>
      </c>
      <c r="Y44" s="25">
        <f t="shared" si="1"/>
        <v>45323</v>
      </c>
      <c r="Z44">
        <f t="shared" si="2"/>
        <v>2024</v>
      </c>
    </row>
    <row r="45" spans="1:26" x14ac:dyDescent="0.3">
      <c r="A45" t="s">
        <v>221</v>
      </c>
      <c r="B45" s="4" t="s">
        <v>222</v>
      </c>
      <c r="C45" t="s">
        <v>134</v>
      </c>
      <c r="D45" t="s">
        <v>135</v>
      </c>
      <c r="E45" t="s">
        <v>52</v>
      </c>
      <c r="F45" t="s">
        <v>44</v>
      </c>
      <c r="G45" t="s">
        <v>45</v>
      </c>
      <c r="H45" t="s">
        <v>46</v>
      </c>
      <c r="I45" t="s">
        <v>26</v>
      </c>
      <c r="J45" t="s">
        <v>27</v>
      </c>
      <c r="K45" t="s">
        <v>28</v>
      </c>
      <c r="L45" s="8">
        <v>2</v>
      </c>
      <c r="M45" s="12">
        <v>40000</v>
      </c>
      <c r="N45" s="10">
        <v>0.15</v>
      </c>
      <c r="O45" s="12">
        <v>68000</v>
      </c>
      <c r="P45" s="12">
        <v>11089.05</v>
      </c>
      <c r="Q45" s="12">
        <v>189.39</v>
      </c>
      <c r="R45" t="s">
        <v>57</v>
      </c>
      <c r="U45" s="12">
        <f>Table2[[#This Row],[Quantity]]*Table2[[#This Row],[Unit_Price]]*(1-Table2[[#This Row],[ Discount]])</f>
        <v>68000</v>
      </c>
      <c r="V45" s="10">
        <f>Table2[[#This Row],[Profit]]/Table2[[#This Row],[Sales_Amount]]</f>
        <v>0.16307426470588235</v>
      </c>
      <c r="W45" t="str">
        <f>IF(Table2[[#This Row],[Sales_Amount]]&gt;10000,"High Value","Normal")</f>
        <v>High Value</v>
      </c>
      <c r="X45" t="str">
        <f t="shared" si="0"/>
        <v>High</v>
      </c>
      <c r="Y45" s="25">
        <f t="shared" si="1"/>
        <v>45323</v>
      </c>
      <c r="Z45">
        <f t="shared" si="2"/>
        <v>2024</v>
      </c>
    </row>
    <row r="46" spans="1:26" x14ac:dyDescent="0.3">
      <c r="A46" t="s">
        <v>223</v>
      </c>
      <c r="B46" s="4" t="s">
        <v>224</v>
      </c>
      <c r="C46" t="s">
        <v>32</v>
      </c>
      <c r="D46" t="s">
        <v>33</v>
      </c>
      <c r="E46" t="s">
        <v>67</v>
      </c>
      <c r="F46" t="s">
        <v>44</v>
      </c>
      <c r="G46" t="s">
        <v>192</v>
      </c>
      <c r="H46" t="s">
        <v>193</v>
      </c>
      <c r="I46" t="s">
        <v>36</v>
      </c>
      <c r="J46" t="s">
        <v>140</v>
      </c>
      <c r="K46" t="s">
        <v>168</v>
      </c>
      <c r="L46" s="8">
        <v>2</v>
      </c>
      <c r="M46" s="12">
        <v>1800</v>
      </c>
      <c r="N46" s="10">
        <v>0.2</v>
      </c>
      <c r="O46" s="12">
        <v>2880</v>
      </c>
      <c r="P46" s="12">
        <v>388.3</v>
      </c>
      <c r="Q46" s="12">
        <v>105.64</v>
      </c>
      <c r="R46" t="s">
        <v>39</v>
      </c>
      <c r="U46" s="12">
        <f>Table2[[#This Row],[Quantity]]*Table2[[#This Row],[Unit_Price]]*(1-Table2[[#This Row],[ Discount]])</f>
        <v>2880</v>
      </c>
      <c r="V46" s="10">
        <f>Table2[[#This Row],[Profit]]/Table2[[#This Row],[Sales_Amount]]</f>
        <v>0.1348263888888889</v>
      </c>
      <c r="W46" t="str">
        <f>IF(Table2[[#This Row],[Sales_Amount]]&gt;10000,"High Value","Normal")</f>
        <v>Normal</v>
      </c>
      <c r="X46" t="str">
        <f t="shared" si="0"/>
        <v>High</v>
      </c>
      <c r="Y46" s="25">
        <f t="shared" si="1"/>
        <v>45323</v>
      </c>
      <c r="Z46">
        <f t="shared" si="2"/>
        <v>2024</v>
      </c>
    </row>
    <row r="47" spans="1:26" x14ac:dyDescent="0.3">
      <c r="A47" t="s">
        <v>225</v>
      </c>
      <c r="B47" s="4" t="s">
        <v>226</v>
      </c>
      <c r="C47" t="s">
        <v>89</v>
      </c>
      <c r="D47" t="s">
        <v>90</v>
      </c>
      <c r="E47" t="s">
        <v>52</v>
      </c>
      <c r="F47" t="s">
        <v>106</v>
      </c>
      <c r="G47" t="s">
        <v>107</v>
      </c>
      <c r="H47" t="s">
        <v>108</v>
      </c>
      <c r="I47" t="s">
        <v>26</v>
      </c>
      <c r="J47" t="s">
        <v>91</v>
      </c>
      <c r="K47" t="s">
        <v>92</v>
      </c>
      <c r="L47" s="8">
        <v>4</v>
      </c>
      <c r="M47" s="12">
        <v>1200</v>
      </c>
      <c r="N47" s="10">
        <v>0</v>
      </c>
      <c r="O47" s="12">
        <v>4800</v>
      </c>
      <c r="P47" s="12">
        <v>864.1</v>
      </c>
      <c r="Q47" s="12">
        <v>335.53</v>
      </c>
      <c r="R47" t="s">
        <v>29</v>
      </c>
      <c r="U47" s="12">
        <f>Table2[[#This Row],[Quantity]]*Table2[[#This Row],[Unit_Price]]*(1-Table2[[#This Row],[ Discount]])</f>
        <v>4800</v>
      </c>
      <c r="V47" s="10">
        <f>Table2[[#This Row],[Profit]]/Table2[[#This Row],[Sales_Amount]]</f>
        <v>0.18002083333333332</v>
      </c>
      <c r="W47" t="str">
        <f>IF(Table2[[#This Row],[Sales_Amount]]&gt;10000,"High Value","Normal")</f>
        <v>Normal</v>
      </c>
      <c r="X47" t="str">
        <f t="shared" si="0"/>
        <v>No Discount</v>
      </c>
      <c r="Y47" s="25">
        <f t="shared" si="1"/>
        <v>45352</v>
      </c>
      <c r="Z47">
        <f t="shared" si="2"/>
        <v>2024</v>
      </c>
    </row>
    <row r="48" spans="1:26" x14ac:dyDescent="0.3">
      <c r="A48" t="s">
        <v>227</v>
      </c>
      <c r="B48" s="4" t="s">
        <v>228</v>
      </c>
      <c r="C48" t="s">
        <v>72</v>
      </c>
      <c r="D48" t="s">
        <v>73</v>
      </c>
      <c r="E48" t="s">
        <v>52</v>
      </c>
      <c r="F48" t="s">
        <v>106</v>
      </c>
      <c r="G48" t="s">
        <v>107</v>
      </c>
      <c r="H48" t="s">
        <v>139</v>
      </c>
      <c r="I48" t="s">
        <v>36</v>
      </c>
      <c r="J48" t="s">
        <v>37</v>
      </c>
      <c r="K48" t="s">
        <v>229</v>
      </c>
      <c r="L48" s="8">
        <v>3</v>
      </c>
      <c r="M48" s="12">
        <v>18000</v>
      </c>
      <c r="N48" s="10">
        <v>0.1</v>
      </c>
      <c r="O48" s="12">
        <v>48600</v>
      </c>
      <c r="P48" s="12">
        <v>8903.9699999999993</v>
      </c>
      <c r="Q48" s="12">
        <v>152.06</v>
      </c>
      <c r="R48" t="s">
        <v>29</v>
      </c>
      <c r="U48" s="12">
        <f>Table2[[#This Row],[Quantity]]*Table2[[#This Row],[Unit_Price]]*(1-Table2[[#This Row],[ Discount]])</f>
        <v>48600</v>
      </c>
      <c r="V48" s="10">
        <f>Table2[[#This Row],[Profit]]/Table2[[#This Row],[Sales_Amount]]</f>
        <v>0.18320925925925924</v>
      </c>
      <c r="W48" t="str">
        <f>IF(Table2[[#This Row],[Sales_Amount]]&gt;10000,"High Value","Normal")</f>
        <v>High Value</v>
      </c>
      <c r="X48" t="str">
        <f t="shared" si="0"/>
        <v>Medium</v>
      </c>
      <c r="Y48" s="25">
        <f t="shared" si="1"/>
        <v>45352</v>
      </c>
      <c r="Z48">
        <f t="shared" si="2"/>
        <v>2024</v>
      </c>
    </row>
    <row r="49" spans="1:26" x14ac:dyDescent="0.3">
      <c r="A49" t="s">
        <v>230</v>
      </c>
      <c r="B49" s="4" t="s">
        <v>231</v>
      </c>
      <c r="C49" t="s">
        <v>72</v>
      </c>
      <c r="D49" t="s">
        <v>73</v>
      </c>
      <c r="E49" t="s">
        <v>22</v>
      </c>
      <c r="F49" t="s">
        <v>44</v>
      </c>
      <c r="G49" t="s">
        <v>45</v>
      </c>
      <c r="H49" t="s">
        <v>96</v>
      </c>
      <c r="I49" t="s">
        <v>36</v>
      </c>
      <c r="J49" t="s">
        <v>37</v>
      </c>
      <c r="K49" t="s">
        <v>125</v>
      </c>
      <c r="L49" s="8">
        <v>4</v>
      </c>
      <c r="M49" s="12">
        <v>8500</v>
      </c>
      <c r="N49" s="10">
        <v>0</v>
      </c>
      <c r="O49" s="12">
        <v>34000</v>
      </c>
      <c r="P49" s="12">
        <v>5615.16</v>
      </c>
      <c r="Q49" s="12">
        <v>98</v>
      </c>
      <c r="R49" t="s">
        <v>39</v>
      </c>
      <c r="U49" s="12">
        <f>Table2[[#This Row],[Quantity]]*Table2[[#This Row],[Unit_Price]]*(1-Table2[[#This Row],[ Discount]])</f>
        <v>34000</v>
      </c>
      <c r="V49" s="10">
        <f>Table2[[#This Row],[Profit]]/Table2[[#This Row],[Sales_Amount]]</f>
        <v>0.16515176470588236</v>
      </c>
      <c r="W49" t="str">
        <f>IF(Table2[[#This Row],[Sales_Amount]]&gt;10000,"High Value","Normal")</f>
        <v>High Value</v>
      </c>
      <c r="X49" t="str">
        <f t="shared" si="0"/>
        <v>No Discount</v>
      </c>
      <c r="Y49" s="25">
        <f t="shared" si="1"/>
        <v>45352</v>
      </c>
      <c r="Z49">
        <f t="shared" si="2"/>
        <v>2024</v>
      </c>
    </row>
    <row r="50" spans="1:26" x14ac:dyDescent="0.3">
      <c r="A50" t="s">
        <v>232</v>
      </c>
      <c r="B50" s="4" t="s">
        <v>233</v>
      </c>
      <c r="C50" t="s">
        <v>166</v>
      </c>
      <c r="D50" t="s">
        <v>167</v>
      </c>
      <c r="E50" t="s">
        <v>52</v>
      </c>
      <c r="F50" t="s">
        <v>106</v>
      </c>
      <c r="G50" t="s">
        <v>149</v>
      </c>
      <c r="H50" t="s">
        <v>234</v>
      </c>
      <c r="I50" t="s">
        <v>26</v>
      </c>
      <c r="J50" t="s">
        <v>91</v>
      </c>
      <c r="K50" t="s">
        <v>92</v>
      </c>
      <c r="L50" s="8">
        <v>3</v>
      </c>
      <c r="M50" s="12">
        <v>1200</v>
      </c>
      <c r="N50" s="10">
        <v>0</v>
      </c>
      <c r="O50" s="12">
        <v>3600</v>
      </c>
      <c r="P50" s="12">
        <v>882.87</v>
      </c>
      <c r="Q50" s="12">
        <v>354.47</v>
      </c>
      <c r="R50" t="s">
        <v>57</v>
      </c>
      <c r="U50" s="12">
        <f>Table2[[#This Row],[Quantity]]*Table2[[#This Row],[Unit_Price]]*(1-Table2[[#This Row],[ Discount]])</f>
        <v>3600</v>
      </c>
      <c r="V50" s="10">
        <f>Table2[[#This Row],[Profit]]/Table2[[#This Row],[Sales_Amount]]</f>
        <v>0.24524166666666666</v>
      </c>
      <c r="W50" t="str">
        <f>IF(Table2[[#This Row],[Sales_Amount]]&gt;10000,"High Value","Normal")</f>
        <v>Normal</v>
      </c>
      <c r="X50" t="str">
        <f t="shared" si="0"/>
        <v>No Discount</v>
      </c>
      <c r="Y50" s="25">
        <f t="shared" si="1"/>
        <v>45352</v>
      </c>
      <c r="Z50">
        <f t="shared" si="2"/>
        <v>2024</v>
      </c>
    </row>
    <row r="51" spans="1:26" x14ac:dyDescent="0.3">
      <c r="A51" t="s">
        <v>235</v>
      </c>
      <c r="B51" s="4" t="s">
        <v>236</v>
      </c>
      <c r="C51" t="s">
        <v>206</v>
      </c>
      <c r="D51" t="s">
        <v>207</v>
      </c>
      <c r="E51" t="s">
        <v>52</v>
      </c>
      <c r="F51" t="s">
        <v>106</v>
      </c>
      <c r="G51" t="s">
        <v>149</v>
      </c>
      <c r="H51" t="s">
        <v>234</v>
      </c>
      <c r="I51" t="s">
        <v>47</v>
      </c>
      <c r="J51" t="s">
        <v>85</v>
      </c>
      <c r="K51" t="s">
        <v>86</v>
      </c>
      <c r="L51" s="8">
        <v>5</v>
      </c>
      <c r="M51" s="12">
        <v>3500</v>
      </c>
      <c r="N51" s="10">
        <v>0</v>
      </c>
      <c r="O51" s="12">
        <v>17500</v>
      </c>
      <c r="P51" s="12">
        <v>2950.52</v>
      </c>
      <c r="Q51" s="12">
        <v>484.85</v>
      </c>
      <c r="R51" t="s">
        <v>29</v>
      </c>
      <c r="U51" s="12">
        <f>Table2[[#This Row],[Quantity]]*Table2[[#This Row],[Unit_Price]]*(1-Table2[[#This Row],[ Discount]])</f>
        <v>17500</v>
      </c>
      <c r="V51" s="10">
        <f>Table2[[#This Row],[Profit]]/Table2[[#This Row],[Sales_Amount]]</f>
        <v>0.16860114285714287</v>
      </c>
      <c r="W51" t="str">
        <f>IF(Table2[[#This Row],[Sales_Amount]]&gt;10000,"High Value","Normal")</f>
        <v>High Value</v>
      </c>
      <c r="X51" t="str">
        <f t="shared" si="0"/>
        <v>No Discount</v>
      </c>
      <c r="Y51" s="25">
        <f t="shared" si="1"/>
        <v>45352</v>
      </c>
      <c r="Z51">
        <f t="shared" si="2"/>
        <v>2024</v>
      </c>
    </row>
    <row r="52" spans="1:26" x14ac:dyDescent="0.3">
      <c r="A52" t="s">
        <v>237</v>
      </c>
      <c r="B52" s="4" t="s">
        <v>238</v>
      </c>
      <c r="C52" t="s">
        <v>206</v>
      </c>
      <c r="D52" t="s">
        <v>207</v>
      </c>
      <c r="E52" t="s">
        <v>67</v>
      </c>
      <c r="F52" t="s">
        <v>23</v>
      </c>
      <c r="G52" t="s">
        <v>34</v>
      </c>
      <c r="H52" t="s">
        <v>239</v>
      </c>
      <c r="I52" t="s">
        <v>26</v>
      </c>
      <c r="J52" t="s">
        <v>91</v>
      </c>
      <c r="K52" t="s">
        <v>92</v>
      </c>
      <c r="L52" s="8">
        <v>5</v>
      </c>
      <c r="M52" s="12">
        <v>1200</v>
      </c>
      <c r="N52" s="10">
        <v>0.15</v>
      </c>
      <c r="O52" s="12">
        <v>5100</v>
      </c>
      <c r="P52" s="12">
        <v>1340.21</v>
      </c>
      <c r="Q52" s="12">
        <v>432.87</v>
      </c>
      <c r="R52" t="s">
        <v>29</v>
      </c>
      <c r="U52" s="12">
        <f>Table2[[#This Row],[Quantity]]*Table2[[#This Row],[Unit_Price]]*(1-Table2[[#This Row],[ Discount]])</f>
        <v>5100</v>
      </c>
      <c r="V52" s="10">
        <f>Table2[[#This Row],[Profit]]/Table2[[#This Row],[Sales_Amount]]</f>
        <v>0.26278627450980391</v>
      </c>
      <c r="W52" t="str">
        <f>IF(Table2[[#This Row],[Sales_Amount]]&gt;10000,"High Value","Normal")</f>
        <v>Normal</v>
      </c>
      <c r="X52" t="str">
        <f t="shared" si="0"/>
        <v>High</v>
      </c>
      <c r="Y52" s="25">
        <f t="shared" si="1"/>
        <v>45352</v>
      </c>
      <c r="Z52">
        <f t="shared" si="2"/>
        <v>2024</v>
      </c>
    </row>
    <row r="53" spans="1:26" x14ac:dyDescent="0.3">
      <c r="A53" t="s">
        <v>240</v>
      </c>
      <c r="B53" s="4" t="s">
        <v>241</v>
      </c>
      <c r="C53" t="s">
        <v>242</v>
      </c>
      <c r="D53" t="s">
        <v>243</v>
      </c>
      <c r="E53" t="s">
        <v>52</v>
      </c>
      <c r="F53" t="s">
        <v>106</v>
      </c>
      <c r="G53" t="s">
        <v>107</v>
      </c>
      <c r="H53" t="s">
        <v>139</v>
      </c>
      <c r="I53" t="s">
        <v>36</v>
      </c>
      <c r="J53" t="s">
        <v>113</v>
      </c>
      <c r="K53" t="s">
        <v>220</v>
      </c>
      <c r="L53" s="8">
        <v>3</v>
      </c>
      <c r="M53" s="12">
        <v>1800</v>
      </c>
      <c r="N53" s="10">
        <v>0</v>
      </c>
      <c r="O53" s="12">
        <v>5400</v>
      </c>
      <c r="P53" s="12">
        <v>449.73</v>
      </c>
      <c r="Q53" s="12">
        <v>317.07</v>
      </c>
      <c r="R53" t="s">
        <v>57</v>
      </c>
      <c r="U53" s="12">
        <f>Table2[[#This Row],[Quantity]]*Table2[[#This Row],[Unit_Price]]*(1-Table2[[#This Row],[ Discount]])</f>
        <v>5400</v>
      </c>
      <c r="V53" s="10">
        <f>Table2[[#This Row],[Profit]]/Table2[[#This Row],[Sales_Amount]]</f>
        <v>8.3283333333333334E-2</v>
      </c>
      <c r="W53" t="str">
        <f>IF(Table2[[#This Row],[Sales_Amount]]&gt;10000,"High Value","Normal")</f>
        <v>Normal</v>
      </c>
      <c r="X53" t="str">
        <f t="shared" si="0"/>
        <v>No Discount</v>
      </c>
      <c r="Y53" s="25">
        <f t="shared" si="1"/>
        <v>45352</v>
      </c>
      <c r="Z53">
        <f t="shared" si="2"/>
        <v>2024</v>
      </c>
    </row>
    <row r="54" spans="1:26" x14ac:dyDescent="0.3">
      <c r="A54" t="s">
        <v>244</v>
      </c>
      <c r="B54" s="4" t="s">
        <v>245</v>
      </c>
      <c r="C54" t="s">
        <v>32</v>
      </c>
      <c r="D54" t="s">
        <v>33</v>
      </c>
      <c r="E54" t="s">
        <v>52</v>
      </c>
      <c r="F54" t="s">
        <v>44</v>
      </c>
      <c r="G54" t="s">
        <v>216</v>
      </c>
      <c r="H54" t="s">
        <v>217</v>
      </c>
      <c r="I54" t="s">
        <v>36</v>
      </c>
      <c r="J54" t="s">
        <v>113</v>
      </c>
      <c r="K54" t="s">
        <v>246</v>
      </c>
      <c r="L54" s="8">
        <v>3</v>
      </c>
      <c r="M54" s="12">
        <v>1200</v>
      </c>
      <c r="N54" s="10">
        <v>0</v>
      </c>
      <c r="O54" s="12">
        <v>3600</v>
      </c>
      <c r="P54" s="12">
        <v>686.57</v>
      </c>
      <c r="Q54" s="12">
        <v>361.87</v>
      </c>
      <c r="R54" t="s">
        <v>39</v>
      </c>
      <c r="U54" s="12">
        <f>Table2[[#This Row],[Quantity]]*Table2[[#This Row],[Unit_Price]]*(1-Table2[[#This Row],[ Discount]])</f>
        <v>3600</v>
      </c>
      <c r="V54" s="10">
        <f>Table2[[#This Row],[Profit]]/Table2[[#This Row],[Sales_Amount]]</f>
        <v>0.19071388888888891</v>
      </c>
      <c r="W54" t="str">
        <f>IF(Table2[[#This Row],[Sales_Amount]]&gt;10000,"High Value","Normal")</f>
        <v>Normal</v>
      </c>
      <c r="X54" t="str">
        <f t="shared" si="0"/>
        <v>No Discount</v>
      </c>
      <c r="Y54" s="25">
        <f t="shared" si="1"/>
        <v>45352</v>
      </c>
      <c r="Z54">
        <f t="shared" si="2"/>
        <v>2024</v>
      </c>
    </row>
    <row r="55" spans="1:26" x14ac:dyDescent="0.3">
      <c r="A55" t="s">
        <v>247</v>
      </c>
      <c r="B55" s="4" t="s">
        <v>248</v>
      </c>
      <c r="C55" t="s">
        <v>78</v>
      </c>
      <c r="D55" t="s">
        <v>79</v>
      </c>
      <c r="E55" t="s">
        <v>67</v>
      </c>
      <c r="F55" t="s">
        <v>44</v>
      </c>
      <c r="G55" t="s">
        <v>216</v>
      </c>
      <c r="H55" t="s">
        <v>217</v>
      </c>
      <c r="I55" t="s">
        <v>47</v>
      </c>
      <c r="J55" t="s">
        <v>48</v>
      </c>
      <c r="K55" t="s">
        <v>196</v>
      </c>
      <c r="L55" s="8">
        <v>1</v>
      </c>
      <c r="M55" s="12">
        <v>2500</v>
      </c>
      <c r="N55" s="10">
        <v>0</v>
      </c>
      <c r="O55" s="12">
        <v>2500</v>
      </c>
      <c r="P55" s="12">
        <v>514.37</v>
      </c>
      <c r="Q55" s="12">
        <v>263.68</v>
      </c>
      <c r="R55" t="s">
        <v>29</v>
      </c>
      <c r="U55" s="12">
        <f>Table2[[#This Row],[Quantity]]*Table2[[#This Row],[Unit_Price]]*(1-Table2[[#This Row],[ Discount]])</f>
        <v>2500</v>
      </c>
      <c r="V55" s="10">
        <f>Table2[[#This Row],[Profit]]/Table2[[#This Row],[Sales_Amount]]</f>
        <v>0.20574800000000001</v>
      </c>
      <c r="W55" t="str">
        <f>IF(Table2[[#This Row],[Sales_Amount]]&gt;10000,"High Value","Normal")</f>
        <v>Normal</v>
      </c>
      <c r="X55" t="str">
        <f t="shared" si="0"/>
        <v>No Discount</v>
      </c>
      <c r="Y55" s="25">
        <f t="shared" si="1"/>
        <v>45352</v>
      </c>
      <c r="Z55">
        <f t="shared" si="2"/>
        <v>2024</v>
      </c>
    </row>
    <row r="56" spans="1:26" x14ac:dyDescent="0.3">
      <c r="A56" t="s">
        <v>249</v>
      </c>
      <c r="B56" s="4" t="s">
        <v>250</v>
      </c>
      <c r="C56" t="s">
        <v>78</v>
      </c>
      <c r="D56" t="s">
        <v>79</v>
      </c>
      <c r="E56" t="s">
        <v>22</v>
      </c>
      <c r="F56" t="s">
        <v>53</v>
      </c>
      <c r="G56" t="s">
        <v>83</v>
      </c>
      <c r="H56" t="s">
        <v>251</v>
      </c>
      <c r="I56" t="s">
        <v>36</v>
      </c>
      <c r="J56" t="s">
        <v>140</v>
      </c>
      <c r="K56" t="s">
        <v>168</v>
      </c>
      <c r="L56" s="8">
        <v>1</v>
      </c>
      <c r="M56" s="12">
        <v>1800</v>
      </c>
      <c r="N56" s="10">
        <v>0</v>
      </c>
      <c r="O56" s="12">
        <v>1800</v>
      </c>
      <c r="P56" s="12">
        <v>497.44</v>
      </c>
      <c r="Q56" s="12">
        <v>208.28</v>
      </c>
      <c r="R56" t="s">
        <v>39</v>
      </c>
      <c r="U56" s="12">
        <f>Table2[[#This Row],[Quantity]]*Table2[[#This Row],[Unit_Price]]*(1-Table2[[#This Row],[ Discount]])</f>
        <v>1800</v>
      </c>
      <c r="V56" s="10">
        <f>Table2[[#This Row],[Profit]]/Table2[[#This Row],[Sales_Amount]]</f>
        <v>0.27635555555555558</v>
      </c>
      <c r="W56" t="str">
        <f>IF(Table2[[#This Row],[Sales_Amount]]&gt;10000,"High Value","Normal")</f>
        <v>Normal</v>
      </c>
      <c r="X56" t="str">
        <f t="shared" si="0"/>
        <v>No Discount</v>
      </c>
      <c r="Y56" s="25">
        <f t="shared" si="1"/>
        <v>45352</v>
      </c>
      <c r="Z56">
        <f t="shared" si="2"/>
        <v>2024</v>
      </c>
    </row>
    <row r="57" spans="1:26" x14ac:dyDescent="0.3">
      <c r="A57" t="s">
        <v>252</v>
      </c>
      <c r="B57" s="4" t="s">
        <v>253</v>
      </c>
      <c r="C57" t="s">
        <v>157</v>
      </c>
      <c r="D57" t="s">
        <v>158</v>
      </c>
      <c r="E57" t="s">
        <v>52</v>
      </c>
      <c r="F57" t="s">
        <v>44</v>
      </c>
      <c r="G57" t="s">
        <v>45</v>
      </c>
      <c r="H57" t="s">
        <v>96</v>
      </c>
      <c r="I57" t="s">
        <v>47</v>
      </c>
      <c r="J57" t="s">
        <v>119</v>
      </c>
      <c r="K57" t="s">
        <v>254</v>
      </c>
      <c r="L57" s="8">
        <v>5</v>
      </c>
      <c r="M57" s="12">
        <v>1200</v>
      </c>
      <c r="N57" s="10">
        <v>0</v>
      </c>
      <c r="O57" s="12">
        <v>6000</v>
      </c>
      <c r="P57" s="12">
        <v>1205.3</v>
      </c>
      <c r="Q57" s="12">
        <v>489.51</v>
      </c>
      <c r="R57" t="s">
        <v>64</v>
      </c>
      <c r="U57" s="12">
        <f>Table2[[#This Row],[Quantity]]*Table2[[#This Row],[Unit_Price]]*(1-Table2[[#This Row],[ Discount]])</f>
        <v>6000</v>
      </c>
      <c r="V57" s="10">
        <f>Table2[[#This Row],[Profit]]/Table2[[#This Row],[Sales_Amount]]</f>
        <v>0.20088333333333333</v>
      </c>
      <c r="W57" t="str">
        <f>IF(Table2[[#This Row],[Sales_Amount]]&gt;10000,"High Value","Normal")</f>
        <v>Normal</v>
      </c>
      <c r="X57" t="str">
        <f t="shared" si="0"/>
        <v>No Discount</v>
      </c>
      <c r="Y57" s="25">
        <f t="shared" si="1"/>
        <v>45352</v>
      </c>
      <c r="Z57">
        <f t="shared" si="2"/>
        <v>2024</v>
      </c>
    </row>
    <row r="58" spans="1:26" x14ac:dyDescent="0.3">
      <c r="A58" t="s">
        <v>255</v>
      </c>
      <c r="B58" s="4" t="s">
        <v>256</v>
      </c>
      <c r="C58" t="s">
        <v>72</v>
      </c>
      <c r="D58" t="s">
        <v>73</v>
      </c>
      <c r="E58" t="s">
        <v>52</v>
      </c>
      <c r="F58" t="s">
        <v>23</v>
      </c>
      <c r="G58" t="s">
        <v>34</v>
      </c>
      <c r="H58" t="s">
        <v>62</v>
      </c>
      <c r="I58" t="s">
        <v>36</v>
      </c>
      <c r="J58" t="s">
        <v>37</v>
      </c>
      <c r="K58" t="s">
        <v>229</v>
      </c>
      <c r="L58" s="8">
        <v>5</v>
      </c>
      <c r="M58" s="12">
        <v>18000</v>
      </c>
      <c r="N58" s="10">
        <v>0.1</v>
      </c>
      <c r="O58" s="12">
        <v>81000</v>
      </c>
      <c r="P58" s="12">
        <v>10728.58</v>
      </c>
      <c r="Q58" s="12">
        <v>161.13</v>
      </c>
      <c r="R58" t="s">
        <v>57</v>
      </c>
      <c r="U58" s="12">
        <f>Table2[[#This Row],[Quantity]]*Table2[[#This Row],[Unit_Price]]*(1-Table2[[#This Row],[ Discount]])</f>
        <v>81000</v>
      </c>
      <c r="V58" s="10">
        <f>Table2[[#This Row],[Profit]]/Table2[[#This Row],[Sales_Amount]]</f>
        <v>0.1324516049382716</v>
      </c>
      <c r="W58" t="str">
        <f>IF(Table2[[#This Row],[Sales_Amount]]&gt;10000,"High Value","Normal")</f>
        <v>High Value</v>
      </c>
      <c r="X58" t="str">
        <f t="shared" si="0"/>
        <v>Medium</v>
      </c>
      <c r="Y58" s="25">
        <f t="shared" si="1"/>
        <v>45352</v>
      </c>
      <c r="Z58">
        <f t="shared" si="2"/>
        <v>2024</v>
      </c>
    </row>
    <row r="59" spans="1:26" x14ac:dyDescent="0.3">
      <c r="A59" t="s">
        <v>257</v>
      </c>
      <c r="B59" s="4" t="s">
        <v>253</v>
      </c>
      <c r="C59" t="s">
        <v>94</v>
      </c>
      <c r="D59" t="s">
        <v>95</v>
      </c>
      <c r="E59" t="s">
        <v>67</v>
      </c>
      <c r="F59" t="s">
        <v>53</v>
      </c>
      <c r="G59" t="s">
        <v>54</v>
      </c>
      <c r="H59" t="s">
        <v>55</v>
      </c>
      <c r="I59" t="s">
        <v>26</v>
      </c>
      <c r="J59" t="s">
        <v>69</v>
      </c>
      <c r="K59" t="s">
        <v>80</v>
      </c>
      <c r="L59" s="8">
        <v>4</v>
      </c>
      <c r="M59" s="12">
        <v>50000</v>
      </c>
      <c r="N59" s="10">
        <v>0.15</v>
      </c>
      <c r="O59" s="12">
        <v>170000</v>
      </c>
      <c r="P59" s="12">
        <v>15854.03</v>
      </c>
      <c r="Q59" s="12">
        <v>445.87</v>
      </c>
      <c r="R59" t="s">
        <v>57</v>
      </c>
      <c r="U59" s="12">
        <f>Table2[[#This Row],[Quantity]]*Table2[[#This Row],[Unit_Price]]*(1-Table2[[#This Row],[ Discount]])</f>
        <v>170000</v>
      </c>
      <c r="V59" s="10">
        <f>Table2[[#This Row],[Profit]]/Table2[[#This Row],[Sales_Amount]]</f>
        <v>9.3259000000000009E-2</v>
      </c>
      <c r="W59" t="str">
        <f>IF(Table2[[#This Row],[Sales_Amount]]&gt;10000,"High Value","Normal")</f>
        <v>High Value</v>
      </c>
      <c r="X59" t="str">
        <f t="shared" si="0"/>
        <v>High</v>
      </c>
      <c r="Y59" s="25">
        <f t="shared" si="1"/>
        <v>45352</v>
      </c>
      <c r="Z59">
        <f t="shared" si="2"/>
        <v>2024</v>
      </c>
    </row>
    <row r="60" spans="1:26" x14ac:dyDescent="0.3">
      <c r="A60" t="s">
        <v>258</v>
      </c>
      <c r="B60" s="4" t="s">
        <v>259</v>
      </c>
      <c r="C60" t="s">
        <v>42</v>
      </c>
      <c r="D60" t="s">
        <v>43</v>
      </c>
      <c r="E60" t="s">
        <v>52</v>
      </c>
      <c r="F60" t="s">
        <v>23</v>
      </c>
      <c r="G60" t="s">
        <v>34</v>
      </c>
      <c r="H60" t="s">
        <v>239</v>
      </c>
      <c r="I60" t="s">
        <v>47</v>
      </c>
      <c r="J60" t="s">
        <v>119</v>
      </c>
      <c r="K60" t="s">
        <v>254</v>
      </c>
      <c r="L60" s="8">
        <v>3</v>
      </c>
      <c r="M60" s="12">
        <v>1200</v>
      </c>
      <c r="N60" s="10">
        <v>0.2</v>
      </c>
      <c r="O60" s="12">
        <v>2880</v>
      </c>
      <c r="P60" s="12">
        <v>656.84</v>
      </c>
      <c r="Q60" s="12">
        <v>489.72</v>
      </c>
      <c r="R60" t="s">
        <v>39</v>
      </c>
      <c r="U60" s="12">
        <f>Table2[[#This Row],[Quantity]]*Table2[[#This Row],[Unit_Price]]*(1-Table2[[#This Row],[ Discount]])</f>
        <v>2880</v>
      </c>
      <c r="V60" s="10">
        <f>Table2[[#This Row],[Profit]]/Table2[[#This Row],[Sales_Amount]]</f>
        <v>0.22806944444444446</v>
      </c>
      <c r="W60" t="str">
        <f>IF(Table2[[#This Row],[Sales_Amount]]&gt;10000,"High Value","Normal")</f>
        <v>Normal</v>
      </c>
      <c r="X60" t="str">
        <f t="shared" si="0"/>
        <v>High</v>
      </c>
      <c r="Y60" s="25">
        <f t="shared" si="1"/>
        <v>45352</v>
      </c>
      <c r="Z60">
        <f t="shared" si="2"/>
        <v>2024</v>
      </c>
    </row>
    <row r="61" spans="1:26" x14ac:dyDescent="0.3">
      <c r="A61" t="s">
        <v>260</v>
      </c>
      <c r="B61" s="4" t="s">
        <v>261</v>
      </c>
      <c r="C61" t="s">
        <v>20</v>
      </c>
      <c r="D61" t="s">
        <v>21</v>
      </c>
      <c r="E61" t="s">
        <v>22</v>
      </c>
      <c r="F61" t="s">
        <v>44</v>
      </c>
      <c r="G61" t="s">
        <v>45</v>
      </c>
      <c r="H61" t="s">
        <v>198</v>
      </c>
      <c r="I61" t="s">
        <v>36</v>
      </c>
      <c r="J61" t="s">
        <v>113</v>
      </c>
      <c r="K61" t="s">
        <v>262</v>
      </c>
      <c r="L61" s="8">
        <v>4</v>
      </c>
      <c r="M61" s="12">
        <v>2500</v>
      </c>
      <c r="N61" s="10">
        <v>0.15</v>
      </c>
      <c r="O61" s="12">
        <v>8500</v>
      </c>
      <c r="P61" s="12">
        <v>1901</v>
      </c>
      <c r="Q61" s="12">
        <v>147.47999999999999</v>
      </c>
      <c r="R61" t="s">
        <v>39</v>
      </c>
      <c r="U61" s="12">
        <f>Table2[[#This Row],[Quantity]]*Table2[[#This Row],[Unit_Price]]*(1-Table2[[#This Row],[ Discount]])</f>
        <v>8500</v>
      </c>
      <c r="V61" s="10">
        <f>Table2[[#This Row],[Profit]]/Table2[[#This Row],[Sales_Amount]]</f>
        <v>0.22364705882352942</v>
      </c>
      <c r="W61" t="str">
        <f>IF(Table2[[#This Row],[Sales_Amount]]&gt;10000,"High Value","Normal")</f>
        <v>Normal</v>
      </c>
      <c r="X61" t="str">
        <f t="shared" si="0"/>
        <v>High</v>
      </c>
      <c r="Y61" s="25">
        <f t="shared" si="1"/>
        <v>45352</v>
      </c>
      <c r="Z61">
        <f t="shared" si="2"/>
        <v>2024</v>
      </c>
    </row>
    <row r="62" spans="1:26" x14ac:dyDescent="0.3">
      <c r="A62" t="s">
        <v>263</v>
      </c>
      <c r="B62" s="4" t="s">
        <v>264</v>
      </c>
      <c r="C62" t="s">
        <v>171</v>
      </c>
      <c r="D62" t="s">
        <v>172</v>
      </c>
      <c r="E62" t="s">
        <v>52</v>
      </c>
      <c r="F62" t="s">
        <v>53</v>
      </c>
      <c r="G62" t="s">
        <v>54</v>
      </c>
      <c r="H62" t="s">
        <v>112</v>
      </c>
      <c r="I62" t="s">
        <v>36</v>
      </c>
      <c r="J62" t="s">
        <v>140</v>
      </c>
      <c r="K62" t="s">
        <v>168</v>
      </c>
      <c r="L62" s="8">
        <v>5</v>
      </c>
      <c r="M62" s="12">
        <v>1800</v>
      </c>
      <c r="N62" s="10">
        <v>0</v>
      </c>
      <c r="O62" s="12">
        <v>9000</v>
      </c>
      <c r="P62" s="12">
        <v>2106.34</v>
      </c>
      <c r="Q62" s="12">
        <v>375.04</v>
      </c>
      <c r="R62" t="s">
        <v>39</v>
      </c>
      <c r="U62" s="12">
        <f>Table2[[#This Row],[Quantity]]*Table2[[#This Row],[Unit_Price]]*(1-Table2[[#This Row],[ Discount]])</f>
        <v>9000</v>
      </c>
      <c r="V62" s="10">
        <f>Table2[[#This Row],[Profit]]/Table2[[#This Row],[Sales_Amount]]</f>
        <v>0.23403777777777779</v>
      </c>
      <c r="W62" t="str">
        <f>IF(Table2[[#This Row],[Sales_Amount]]&gt;10000,"High Value","Normal")</f>
        <v>Normal</v>
      </c>
      <c r="X62" t="str">
        <f t="shared" si="0"/>
        <v>No Discount</v>
      </c>
      <c r="Y62" s="25">
        <f t="shared" si="1"/>
        <v>45352</v>
      </c>
      <c r="Z62">
        <f t="shared" si="2"/>
        <v>2024</v>
      </c>
    </row>
    <row r="63" spans="1:26" x14ac:dyDescent="0.3">
      <c r="A63" t="s">
        <v>265</v>
      </c>
      <c r="B63" s="4" t="s">
        <v>228</v>
      </c>
      <c r="C63" t="s">
        <v>143</v>
      </c>
      <c r="D63" t="s">
        <v>144</v>
      </c>
      <c r="E63" t="s">
        <v>22</v>
      </c>
      <c r="F63" t="s">
        <v>44</v>
      </c>
      <c r="G63" t="s">
        <v>216</v>
      </c>
      <c r="H63" t="s">
        <v>266</v>
      </c>
      <c r="I63" t="s">
        <v>36</v>
      </c>
      <c r="J63" t="s">
        <v>140</v>
      </c>
      <c r="K63" t="s">
        <v>168</v>
      </c>
      <c r="L63" s="8">
        <v>4</v>
      </c>
      <c r="M63" s="12">
        <v>1800</v>
      </c>
      <c r="N63" s="10">
        <v>0.2</v>
      </c>
      <c r="O63" s="12">
        <v>5760</v>
      </c>
      <c r="P63" s="12">
        <v>617.67999999999995</v>
      </c>
      <c r="Q63" s="12">
        <v>308.25</v>
      </c>
      <c r="R63" t="s">
        <v>57</v>
      </c>
      <c r="U63" s="12">
        <f>Table2[[#This Row],[Quantity]]*Table2[[#This Row],[Unit_Price]]*(1-Table2[[#This Row],[ Discount]])</f>
        <v>5760</v>
      </c>
      <c r="V63" s="10">
        <f>Table2[[#This Row],[Profit]]/Table2[[#This Row],[Sales_Amount]]</f>
        <v>0.1072361111111111</v>
      </c>
      <c r="W63" t="str">
        <f>IF(Table2[[#This Row],[Sales_Amount]]&gt;10000,"High Value","Normal")</f>
        <v>Normal</v>
      </c>
      <c r="X63" t="str">
        <f t="shared" si="0"/>
        <v>High</v>
      </c>
      <c r="Y63" s="25">
        <f t="shared" si="1"/>
        <v>45352</v>
      </c>
      <c r="Z63">
        <f t="shared" si="2"/>
        <v>2024</v>
      </c>
    </row>
    <row r="64" spans="1:26" x14ac:dyDescent="0.3">
      <c r="A64" t="s">
        <v>267</v>
      </c>
      <c r="B64" s="4" t="s">
        <v>241</v>
      </c>
      <c r="C64" t="s">
        <v>143</v>
      </c>
      <c r="D64" t="s">
        <v>144</v>
      </c>
      <c r="E64" t="s">
        <v>67</v>
      </c>
      <c r="F64" t="s">
        <v>106</v>
      </c>
      <c r="G64" t="s">
        <v>107</v>
      </c>
      <c r="H64" t="s">
        <v>139</v>
      </c>
      <c r="I64" t="s">
        <v>36</v>
      </c>
      <c r="J64" t="s">
        <v>140</v>
      </c>
      <c r="K64" t="s">
        <v>168</v>
      </c>
      <c r="L64" s="8">
        <v>2</v>
      </c>
      <c r="M64" s="12">
        <v>1800</v>
      </c>
      <c r="N64" s="10">
        <v>0.1</v>
      </c>
      <c r="O64" s="12">
        <v>3240</v>
      </c>
      <c r="P64" s="12">
        <v>423.83</v>
      </c>
      <c r="Q64" s="12">
        <v>428.38</v>
      </c>
      <c r="R64" t="s">
        <v>29</v>
      </c>
      <c r="U64" s="12">
        <f>Table2[[#This Row],[Quantity]]*Table2[[#This Row],[Unit_Price]]*(1-Table2[[#This Row],[ Discount]])</f>
        <v>3240</v>
      </c>
      <c r="V64" s="10">
        <f>Table2[[#This Row],[Profit]]/Table2[[#This Row],[Sales_Amount]]</f>
        <v>0.13081172839506172</v>
      </c>
      <c r="W64" t="str">
        <f>IF(Table2[[#This Row],[Sales_Amount]]&gt;10000,"High Value","Normal")</f>
        <v>Normal</v>
      </c>
      <c r="X64" t="str">
        <f t="shared" si="0"/>
        <v>Medium</v>
      </c>
      <c r="Y64" s="25">
        <f t="shared" si="1"/>
        <v>45352</v>
      </c>
      <c r="Z64">
        <f t="shared" si="2"/>
        <v>2024</v>
      </c>
    </row>
    <row r="65" spans="1:26" x14ac:dyDescent="0.3">
      <c r="A65" t="s">
        <v>268</v>
      </c>
      <c r="B65" s="4" t="s">
        <v>241</v>
      </c>
      <c r="C65" t="s">
        <v>32</v>
      </c>
      <c r="D65" t="s">
        <v>33</v>
      </c>
      <c r="E65" t="s">
        <v>22</v>
      </c>
      <c r="F65" t="s">
        <v>106</v>
      </c>
      <c r="G65" t="s">
        <v>107</v>
      </c>
      <c r="H65" t="s">
        <v>108</v>
      </c>
      <c r="I65" t="s">
        <v>47</v>
      </c>
      <c r="J65" t="s">
        <v>48</v>
      </c>
      <c r="K65" t="s">
        <v>97</v>
      </c>
      <c r="L65" s="8">
        <v>2</v>
      </c>
      <c r="M65" s="12">
        <v>1500</v>
      </c>
      <c r="N65" s="10">
        <v>0.2</v>
      </c>
      <c r="O65" s="12">
        <v>2400</v>
      </c>
      <c r="P65" s="12">
        <v>660.24</v>
      </c>
      <c r="Q65" s="12">
        <v>366.06</v>
      </c>
      <c r="R65" t="s">
        <v>57</v>
      </c>
      <c r="U65" s="12">
        <f>Table2[[#This Row],[Quantity]]*Table2[[#This Row],[Unit_Price]]*(1-Table2[[#This Row],[ Discount]])</f>
        <v>2400</v>
      </c>
      <c r="V65" s="10">
        <f>Table2[[#This Row],[Profit]]/Table2[[#This Row],[Sales_Amount]]</f>
        <v>0.27510000000000001</v>
      </c>
      <c r="W65" t="str">
        <f>IF(Table2[[#This Row],[Sales_Amount]]&gt;10000,"High Value","Normal")</f>
        <v>Normal</v>
      </c>
      <c r="X65" t="str">
        <f t="shared" si="0"/>
        <v>High</v>
      </c>
      <c r="Y65" s="25">
        <f t="shared" si="1"/>
        <v>45352</v>
      </c>
      <c r="Z65">
        <f t="shared" si="2"/>
        <v>2024</v>
      </c>
    </row>
    <row r="66" spans="1:26" x14ac:dyDescent="0.3">
      <c r="A66" t="s">
        <v>269</v>
      </c>
      <c r="B66" s="4" t="s">
        <v>270</v>
      </c>
      <c r="C66" t="s">
        <v>157</v>
      </c>
      <c r="D66" t="s">
        <v>158</v>
      </c>
      <c r="E66" t="s">
        <v>22</v>
      </c>
      <c r="F66" t="s">
        <v>44</v>
      </c>
      <c r="G66" t="s">
        <v>192</v>
      </c>
      <c r="H66" t="s">
        <v>271</v>
      </c>
      <c r="I66" t="s">
        <v>26</v>
      </c>
      <c r="J66" t="s">
        <v>69</v>
      </c>
      <c r="K66" t="s">
        <v>70</v>
      </c>
      <c r="L66" s="8">
        <v>3</v>
      </c>
      <c r="M66" s="12">
        <v>45000</v>
      </c>
      <c r="N66" s="10">
        <v>0.05</v>
      </c>
      <c r="O66" s="12">
        <v>128250</v>
      </c>
      <c r="P66" s="12">
        <v>19454.830000000002</v>
      </c>
      <c r="Q66" s="12">
        <v>122.61</v>
      </c>
      <c r="R66" t="s">
        <v>64</v>
      </c>
      <c r="U66" s="12">
        <f>Table2[[#This Row],[Quantity]]*Table2[[#This Row],[Unit_Price]]*(1-Table2[[#This Row],[ Discount]])</f>
        <v>128250</v>
      </c>
      <c r="V66" s="10">
        <f>Table2[[#This Row],[Profit]]/Table2[[#This Row],[Sales_Amount]]</f>
        <v>0.15169458089668617</v>
      </c>
      <c r="W66" t="str">
        <f>IF(Table2[[#This Row],[Sales_Amount]]&gt;10000,"High Value","Normal")</f>
        <v>High Value</v>
      </c>
      <c r="X66" t="str">
        <f t="shared" si="0"/>
        <v>Low</v>
      </c>
      <c r="Y66" s="25">
        <f t="shared" si="1"/>
        <v>45352</v>
      </c>
      <c r="Z66">
        <f t="shared" si="2"/>
        <v>2024</v>
      </c>
    </row>
    <row r="67" spans="1:26" x14ac:dyDescent="0.3">
      <c r="A67" t="s">
        <v>272</v>
      </c>
      <c r="B67" s="4" t="s">
        <v>273</v>
      </c>
      <c r="C67" t="s">
        <v>178</v>
      </c>
      <c r="D67" t="s">
        <v>179</v>
      </c>
      <c r="E67" t="s">
        <v>52</v>
      </c>
      <c r="F67" t="s">
        <v>23</v>
      </c>
      <c r="G67" t="s">
        <v>74</v>
      </c>
      <c r="H67" t="s">
        <v>75</v>
      </c>
      <c r="I67" t="s">
        <v>47</v>
      </c>
      <c r="J67" t="s">
        <v>85</v>
      </c>
      <c r="K67" t="s">
        <v>274</v>
      </c>
      <c r="L67" s="8">
        <v>3</v>
      </c>
      <c r="M67" s="12">
        <v>2400</v>
      </c>
      <c r="N67" s="10">
        <v>0.15</v>
      </c>
      <c r="O67" s="12">
        <v>6120</v>
      </c>
      <c r="P67" s="12">
        <v>1262.69</v>
      </c>
      <c r="Q67" s="12">
        <v>197.48</v>
      </c>
      <c r="R67" t="s">
        <v>57</v>
      </c>
      <c r="U67" s="12">
        <f>Table2[[#This Row],[Quantity]]*Table2[[#This Row],[Unit_Price]]*(1-Table2[[#This Row],[ Discount]])</f>
        <v>6120</v>
      </c>
      <c r="V67" s="10">
        <f>Table2[[#This Row],[Profit]]/Table2[[#This Row],[Sales_Amount]]</f>
        <v>0.20632189542483662</v>
      </c>
      <c r="W67" t="str">
        <f>IF(Table2[[#This Row],[Sales_Amount]]&gt;10000,"High Value","Normal")</f>
        <v>Normal</v>
      </c>
      <c r="X67" t="str">
        <f t="shared" ref="X67:X130" si="3">IF(N67=0,"No Discount",IF(N67&lt;=0.05,"Low",IF(N67&lt;=0.1,"Medium","High")))</f>
        <v>High</v>
      </c>
      <c r="Y67" s="25">
        <f t="shared" ref="Y67:Y130" si="4">DATE(YEAR(B67),MONTH(B67),1)</f>
        <v>45352</v>
      </c>
      <c r="Z67">
        <f t="shared" ref="Z67:Z130" si="5">YEAR(B67)</f>
        <v>2024</v>
      </c>
    </row>
    <row r="68" spans="1:26" x14ac:dyDescent="0.3">
      <c r="A68" t="s">
        <v>275</v>
      </c>
      <c r="B68" s="4" t="s">
        <v>241</v>
      </c>
      <c r="C68" t="s">
        <v>206</v>
      </c>
      <c r="D68" t="s">
        <v>207</v>
      </c>
      <c r="E68" t="s">
        <v>52</v>
      </c>
      <c r="F68" t="s">
        <v>53</v>
      </c>
      <c r="G68" t="s">
        <v>100</v>
      </c>
      <c r="H68" t="s">
        <v>101</v>
      </c>
      <c r="I68" t="s">
        <v>47</v>
      </c>
      <c r="J68" t="s">
        <v>48</v>
      </c>
      <c r="K68" t="s">
        <v>97</v>
      </c>
      <c r="L68" s="8">
        <v>1</v>
      </c>
      <c r="M68" s="12">
        <v>1500</v>
      </c>
      <c r="N68" s="10">
        <v>0.2</v>
      </c>
      <c r="O68" s="12">
        <v>1200</v>
      </c>
      <c r="P68" s="12">
        <v>261.02999999999997</v>
      </c>
      <c r="Q68" s="12">
        <v>493.42</v>
      </c>
      <c r="R68" t="s">
        <v>29</v>
      </c>
      <c r="U68" s="12">
        <f>Table2[[#This Row],[Quantity]]*Table2[[#This Row],[Unit_Price]]*(1-Table2[[#This Row],[ Discount]])</f>
        <v>1200</v>
      </c>
      <c r="V68" s="10">
        <f>Table2[[#This Row],[Profit]]/Table2[[#This Row],[Sales_Amount]]</f>
        <v>0.21752499999999997</v>
      </c>
      <c r="W68" t="str">
        <f>IF(Table2[[#This Row],[Sales_Amount]]&gt;10000,"High Value","Normal")</f>
        <v>Normal</v>
      </c>
      <c r="X68" t="str">
        <f t="shared" si="3"/>
        <v>High</v>
      </c>
      <c r="Y68" s="25">
        <f t="shared" si="4"/>
        <v>45352</v>
      </c>
      <c r="Z68">
        <f t="shared" si="5"/>
        <v>2024</v>
      </c>
    </row>
    <row r="69" spans="1:26" x14ac:dyDescent="0.3">
      <c r="A69" t="s">
        <v>276</v>
      </c>
      <c r="B69" s="4" t="s">
        <v>277</v>
      </c>
      <c r="C69" t="s">
        <v>278</v>
      </c>
      <c r="D69" t="s">
        <v>279</v>
      </c>
      <c r="E69" t="s">
        <v>52</v>
      </c>
      <c r="F69" t="s">
        <v>44</v>
      </c>
      <c r="G69" t="s">
        <v>192</v>
      </c>
      <c r="H69" t="s">
        <v>201</v>
      </c>
      <c r="I69" t="s">
        <v>36</v>
      </c>
      <c r="J69" t="s">
        <v>37</v>
      </c>
      <c r="K69" t="s">
        <v>280</v>
      </c>
      <c r="L69" s="8">
        <v>2</v>
      </c>
      <c r="M69" s="12">
        <v>25000</v>
      </c>
      <c r="N69" s="10">
        <v>0</v>
      </c>
      <c r="O69" s="12">
        <v>50000</v>
      </c>
      <c r="P69" s="12">
        <v>11122.31</v>
      </c>
      <c r="Q69" s="12">
        <v>481.7</v>
      </c>
      <c r="R69" t="s">
        <v>57</v>
      </c>
      <c r="U69" s="12">
        <f>Table2[[#This Row],[Quantity]]*Table2[[#This Row],[Unit_Price]]*(1-Table2[[#This Row],[ Discount]])</f>
        <v>50000</v>
      </c>
      <c r="V69" s="10">
        <f>Table2[[#This Row],[Profit]]/Table2[[#This Row],[Sales_Amount]]</f>
        <v>0.22244619999999998</v>
      </c>
      <c r="W69" t="str">
        <f>IF(Table2[[#This Row],[Sales_Amount]]&gt;10000,"High Value","Normal")</f>
        <v>High Value</v>
      </c>
      <c r="X69" t="str">
        <f t="shared" si="3"/>
        <v>No Discount</v>
      </c>
      <c r="Y69" s="25">
        <f t="shared" si="4"/>
        <v>45383</v>
      </c>
      <c r="Z69">
        <f t="shared" si="5"/>
        <v>2024</v>
      </c>
    </row>
    <row r="70" spans="1:26" x14ac:dyDescent="0.3">
      <c r="A70" t="s">
        <v>281</v>
      </c>
      <c r="B70" s="4" t="s">
        <v>277</v>
      </c>
      <c r="C70" t="s">
        <v>166</v>
      </c>
      <c r="D70" t="s">
        <v>167</v>
      </c>
      <c r="E70" t="s">
        <v>52</v>
      </c>
      <c r="F70" t="s">
        <v>44</v>
      </c>
      <c r="G70" t="s">
        <v>216</v>
      </c>
      <c r="H70" t="s">
        <v>266</v>
      </c>
      <c r="I70" t="s">
        <v>26</v>
      </c>
      <c r="J70" t="s">
        <v>91</v>
      </c>
      <c r="K70" t="s">
        <v>153</v>
      </c>
      <c r="L70" s="8">
        <v>4</v>
      </c>
      <c r="M70" s="12">
        <v>800</v>
      </c>
      <c r="N70" s="10">
        <v>0</v>
      </c>
      <c r="O70" s="12">
        <v>3200</v>
      </c>
      <c r="P70" s="12">
        <v>722.61</v>
      </c>
      <c r="Q70" s="12">
        <v>167.82</v>
      </c>
      <c r="R70" t="s">
        <v>64</v>
      </c>
      <c r="U70" s="12">
        <f>Table2[[#This Row],[Quantity]]*Table2[[#This Row],[Unit_Price]]*(1-Table2[[#This Row],[ Discount]])</f>
        <v>3200</v>
      </c>
      <c r="V70" s="10">
        <f>Table2[[#This Row],[Profit]]/Table2[[#This Row],[Sales_Amount]]</f>
        <v>0.22581562499999999</v>
      </c>
      <c r="W70" t="str">
        <f>IF(Table2[[#This Row],[Sales_Amount]]&gt;10000,"High Value","Normal")</f>
        <v>Normal</v>
      </c>
      <c r="X70" t="str">
        <f t="shared" si="3"/>
        <v>No Discount</v>
      </c>
      <c r="Y70" s="25">
        <f t="shared" si="4"/>
        <v>45383</v>
      </c>
      <c r="Z70">
        <f t="shared" si="5"/>
        <v>2024</v>
      </c>
    </row>
    <row r="71" spans="1:26" x14ac:dyDescent="0.3">
      <c r="A71" t="s">
        <v>282</v>
      </c>
      <c r="B71" s="4" t="s">
        <v>283</v>
      </c>
      <c r="C71" t="s">
        <v>211</v>
      </c>
      <c r="D71" t="s">
        <v>212</v>
      </c>
      <c r="E71" t="s">
        <v>52</v>
      </c>
      <c r="F71" t="s">
        <v>53</v>
      </c>
      <c r="G71" t="s">
        <v>100</v>
      </c>
      <c r="H71" t="s">
        <v>213</v>
      </c>
      <c r="I71" t="s">
        <v>47</v>
      </c>
      <c r="J71" t="s">
        <v>85</v>
      </c>
      <c r="K71" t="s">
        <v>284</v>
      </c>
      <c r="L71" s="8">
        <v>5</v>
      </c>
      <c r="M71" s="12">
        <v>900</v>
      </c>
      <c r="N71" s="10">
        <v>0</v>
      </c>
      <c r="O71" s="12">
        <v>4500</v>
      </c>
      <c r="P71" s="12">
        <v>793.09</v>
      </c>
      <c r="Q71" s="12">
        <v>218.47</v>
      </c>
      <c r="R71" t="s">
        <v>57</v>
      </c>
      <c r="U71" s="12">
        <f>Table2[[#This Row],[Quantity]]*Table2[[#This Row],[Unit_Price]]*(1-Table2[[#This Row],[ Discount]])</f>
        <v>4500</v>
      </c>
      <c r="V71" s="10">
        <f>Table2[[#This Row],[Profit]]/Table2[[#This Row],[Sales_Amount]]</f>
        <v>0.17624222222222222</v>
      </c>
      <c r="W71" t="str">
        <f>IF(Table2[[#This Row],[Sales_Amount]]&gt;10000,"High Value","Normal")</f>
        <v>Normal</v>
      </c>
      <c r="X71" t="str">
        <f t="shared" si="3"/>
        <v>No Discount</v>
      </c>
      <c r="Y71" s="25">
        <f t="shared" si="4"/>
        <v>45383</v>
      </c>
      <c r="Z71">
        <f t="shared" si="5"/>
        <v>2024</v>
      </c>
    </row>
    <row r="72" spans="1:26" x14ac:dyDescent="0.3">
      <c r="A72" t="s">
        <v>285</v>
      </c>
      <c r="B72" s="4" t="s">
        <v>286</v>
      </c>
      <c r="C72" t="s">
        <v>117</v>
      </c>
      <c r="D72" t="s">
        <v>118</v>
      </c>
      <c r="E72" t="s">
        <v>67</v>
      </c>
      <c r="F72" t="s">
        <v>23</v>
      </c>
      <c r="G72" t="s">
        <v>34</v>
      </c>
      <c r="H72" t="s">
        <v>62</v>
      </c>
      <c r="I72" t="s">
        <v>36</v>
      </c>
      <c r="J72" t="s">
        <v>140</v>
      </c>
      <c r="K72" t="s">
        <v>287</v>
      </c>
      <c r="L72" s="8">
        <v>5</v>
      </c>
      <c r="M72" s="12">
        <v>4000</v>
      </c>
      <c r="N72" s="10">
        <v>0</v>
      </c>
      <c r="O72" s="12">
        <v>20000</v>
      </c>
      <c r="P72" s="12">
        <v>3743.01</v>
      </c>
      <c r="Q72" s="12">
        <v>326.58999999999997</v>
      </c>
      <c r="R72" t="s">
        <v>39</v>
      </c>
      <c r="U72" s="12">
        <f>Table2[[#This Row],[Quantity]]*Table2[[#This Row],[Unit_Price]]*(1-Table2[[#This Row],[ Discount]])</f>
        <v>20000</v>
      </c>
      <c r="V72" s="10">
        <f>Table2[[#This Row],[Profit]]/Table2[[#This Row],[Sales_Amount]]</f>
        <v>0.1871505</v>
      </c>
      <c r="W72" t="str">
        <f>IF(Table2[[#This Row],[Sales_Amount]]&gt;10000,"High Value","Normal")</f>
        <v>High Value</v>
      </c>
      <c r="X72" t="str">
        <f t="shared" si="3"/>
        <v>No Discount</v>
      </c>
      <c r="Y72" s="25">
        <f t="shared" si="4"/>
        <v>45383</v>
      </c>
      <c r="Z72">
        <f t="shared" si="5"/>
        <v>2024</v>
      </c>
    </row>
    <row r="73" spans="1:26" x14ac:dyDescent="0.3">
      <c r="A73" t="s">
        <v>288</v>
      </c>
      <c r="B73" s="4" t="s">
        <v>286</v>
      </c>
      <c r="C73" t="s">
        <v>143</v>
      </c>
      <c r="D73" t="s">
        <v>144</v>
      </c>
      <c r="E73" t="s">
        <v>22</v>
      </c>
      <c r="F73" t="s">
        <v>53</v>
      </c>
      <c r="G73" t="s">
        <v>54</v>
      </c>
      <c r="H73" t="s">
        <v>112</v>
      </c>
      <c r="I73" t="s">
        <v>47</v>
      </c>
      <c r="J73" t="s">
        <v>85</v>
      </c>
      <c r="K73" t="s">
        <v>289</v>
      </c>
      <c r="L73" s="8">
        <v>4</v>
      </c>
      <c r="M73" s="12">
        <v>2200</v>
      </c>
      <c r="N73" s="10">
        <v>0.05</v>
      </c>
      <c r="O73" s="12">
        <v>8360</v>
      </c>
      <c r="P73" s="12">
        <v>2154.6999999999998</v>
      </c>
      <c r="Q73" s="12">
        <v>191.47</v>
      </c>
      <c r="R73" t="s">
        <v>39</v>
      </c>
      <c r="U73" s="12">
        <f>Table2[[#This Row],[Quantity]]*Table2[[#This Row],[Unit_Price]]*(1-Table2[[#This Row],[ Discount]])</f>
        <v>8360</v>
      </c>
      <c r="V73" s="10">
        <f>Table2[[#This Row],[Profit]]/Table2[[#This Row],[Sales_Amount]]</f>
        <v>0.25773923444976077</v>
      </c>
      <c r="W73" t="str">
        <f>IF(Table2[[#This Row],[Sales_Amount]]&gt;10000,"High Value","Normal")</f>
        <v>Normal</v>
      </c>
      <c r="X73" t="str">
        <f t="shared" si="3"/>
        <v>Low</v>
      </c>
      <c r="Y73" s="25">
        <f t="shared" si="4"/>
        <v>45383</v>
      </c>
      <c r="Z73">
        <f t="shared" si="5"/>
        <v>2024</v>
      </c>
    </row>
    <row r="74" spans="1:26" x14ac:dyDescent="0.3">
      <c r="A74" t="s">
        <v>290</v>
      </c>
      <c r="B74" s="4" t="s">
        <v>291</v>
      </c>
      <c r="C74" t="s">
        <v>20</v>
      </c>
      <c r="D74" t="s">
        <v>21</v>
      </c>
      <c r="E74" t="s">
        <v>52</v>
      </c>
      <c r="F74" t="s">
        <v>44</v>
      </c>
      <c r="G74" t="s">
        <v>216</v>
      </c>
      <c r="H74" t="s">
        <v>217</v>
      </c>
      <c r="I74" t="s">
        <v>36</v>
      </c>
      <c r="J74" t="s">
        <v>37</v>
      </c>
      <c r="K74" t="s">
        <v>125</v>
      </c>
      <c r="L74" s="8">
        <v>2</v>
      </c>
      <c r="M74" s="12">
        <v>8500</v>
      </c>
      <c r="N74" s="10">
        <v>0.1</v>
      </c>
      <c r="O74" s="12">
        <v>15300</v>
      </c>
      <c r="P74" s="12">
        <v>3502.88</v>
      </c>
      <c r="Q74" s="12">
        <v>110.23</v>
      </c>
      <c r="R74" t="s">
        <v>57</v>
      </c>
      <c r="U74" s="12">
        <f>Table2[[#This Row],[Quantity]]*Table2[[#This Row],[Unit_Price]]*(1-Table2[[#This Row],[ Discount]])</f>
        <v>15300</v>
      </c>
      <c r="V74" s="10">
        <f>Table2[[#This Row],[Profit]]/Table2[[#This Row],[Sales_Amount]]</f>
        <v>0.22894640522875817</v>
      </c>
      <c r="W74" t="str">
        <f>IF(Table2[[#This Row],[Sales_Amount]]&gt;10000,"High Value","Normal")</f>
        <v>High Value</v>
      </c>
      <c r="X74" t="str">
        <f t="shared" si="3"/>
        <v>Medium</v>
      </c>
      <c r="Y74" s="25">
        <f t="shared" si="4"/>
        <v>45383</v>
      </c>
      <c r="Z74">
        <f t="shared" si="5"/>
        <v>2024</v>
      </c>
    </row>
    <row r="75" spans="1:26" x14ac:dyDescent="0.3">
      <c r="A75" t="s">
        <v>292</v>
      </c>
      <c r="B75" s="4" t="s">
        <v>293</v>
      </c>
      <c r="C75" t="s">
        <v>127</v>
      </c>
      <c r="D75" t="s">
        <v>128</v>
      </c>
      <c r="E75" t="s">
        <v>67</v>
      </c>
      <c r="F75" t="s">
        <v>44</v>
      </c>
      <c r="G75" t="s">
        <v>45</v>
      </c>
      <c r="H75" t="s">
        <v>124</v>
      </c>
      <c r="I75" t="s">
        <v>26</v>
      </c>
      <c r="J75" t="s">
        <v>27</v>
      </c>
      <c r="K75" t="s">
        <v>76</v>
      </c>
      <c r="L75" s="8">
        <v>2</v>
      </c>
      <c r="M75" s="12">
        <v>75000</v>
      </c>
      <c r="N75" s="10">
        <v>0</v>
      </c>
      <c r="O75" s="12">
        <v>150000</v>
      </c>
      <c r="P75" s="12">
        <v>40185.31</v>
      </c>
      <c r="Q75" s="12">
        <v>497.39</v>
      </c>
      <c r="R75" t="s">
        <v>57</v>
      </c>
      <c r="U75" s="12">
        <f>Table2[[#This Row],[Quantity]]*Table2[[#This Row],[Unit_Price]]*(1-Table2[[#This Row],[ Discount]])</f>
        <v>150000</v>
      </c>
      <c r="V75" s="10">
        <f>Table2[[#This Row],[Profit]]/Table2[[#This Row],[Sales_Amount]]</f>
        <v>0.26790206666666666</v>
      </c>
      <c r="W75" t="str">
        <f>IF(Table2[[#This Row],[Sales_Amount]]&gt;10000,"High Value","Normal")</f>
        <v>High Value</v>
      </c>
      <c r="X75" t="str">
        <f t="shared" si="3"/>
        <v>No Discount</v>
      </c>
      <c r="Y75" s="25">
        <f t="shared" si="4"/>
        <v>45383</v>
      </c>
      <c r="Z75">
        <f t="shared" si="5"/>
        <v>2024</v>
      </c>
    </row>
    <row r="76" spans="1:26" x14ac:dyDescent="0.3">
      <c r="A76" t="s">
        <v>294</v>
      </c>
      <c r="B76" s="4" t="s">
        <v>283</v>
      </c>
      <c r="C76" t="s">
        <v>127</v>
      </c>
      <c r="D76" t="s">
        <v>128</v>
      </c>
      <c r="E76" t="s">
        <v>52</v>
      </c>
      <c r="F76" t="s">
        <v>23</v>
      </c>
      <c r="G76" t="s">
        <v>34</v>
      </c>
      <c r="H76" t="s">
        <v>35</v>
      </c>
      <c r="I76" t="s">
        <v>47</v>
      </c>
      <c r="J76" t="s">
        <v>85</v>
      </c>
      <c r="K76" t="s">
        <v>86</v>
      </c>
      <c r="L76" s="8">
        <v>3</v>
      </c>
      <c r="M76" s="12">
        <v>3500</v>
      </c>
      <c r="N76" s="10">
        <v>0</v>
      </c>
      <c r="O76" s="12">
        <v>10500</v>
      </c>
      <c r="P76" s="12">
        <v>1352.16</v>
      </c>
      <c r="Q76" s="12">
        <v>57.83</v>
      </c>
      <c r="R76" t="s">
        <v>29</v>
      </c>
      <c r="U76" s="12">
        <f>Table2[[#This Row],[Quantity]]*Table2[[#This Row],[Unit_Price]]*(1-Table2[[#This Row],[ Discount]])</f>
        <v>10500</v>
      </c>
      <c r="V76" s="10">
        <f>Table2[[#This Row],[Profit]]/Table2[[#This Row],[Sales_Amount]]</f>
        <v>0.12877714285714287</v>
      </c>
      <c r="W76" t="str">
        <f>IF(Table2[[#This Row],[Sales_Amount]]&gt;10000,"High Value","Normal")</f>
        <v>High Value</v>
      </c>
      <c r="X76" t="str">
        <f t="shared" si="3"/>
        <v>No Discount</v>
      </c>
      <c r="Y76" s="25">
        <f t="shared" si="4"/>
        <v>45383</v>
      </c>
      <c r="Z76">
        <f t="shared" si="5"/>
        <v>2024</v>
      </c>
    </row>
    <row r="77" spans="1:26" x14ac:dyDescent="0.3">
      <c r="A77" t="s">
        <v>295</v>
      </c>
      <c r="B77" s="4" t="s">
        <v>296</v>
      </c>
      <c r="C77" t="s">
        <v>178</v>
      </c>
      <c r="D77" t="s">
        <v>179</v>
      </c>
      <c r="E77" t="s">
        <v>22</v>
      </c>
      <c r="F77" t="s">
        <v>44</v>
      </c>
      <c r="G77" t="s">
        <v>192</v>
      </c>
      <c r="H77" t="s">
        <v>193</v>
      </c>
      <c r="I77" t="s">
        <v>47</v>
      </c>
      <c r="J77" t="s">
        <v>85</v>
      </c>
      <c r="K77" t="s">
        <v>86</v>
      </c>
      <c r="L77" s="8">
        <v>2</v>
      </c>
      <c r="M77" s="12">
        <v>3500</v>
      </c>
      <c r="N77" s="10">
        <v>0.15</v>
      </c>
      <c r="O77" s="12">
        <v>5950</v>
      </c>
      <c r="P77" s="12">
        <v>1281.03</v>
      </c>
      <c r="Q77" s="12">
        <v>200.43</v>
      </c>
      <c r="R77" t="s">
        <v>64</v>
      </c>
      <c r="U77" s="12">
        <f>Table2[[#This Row],[Quantity]]*Table2[[#This Row],[Unit_Price]]*(1-Table2[[#This Row],[ Discount]])</f>
        <v>5950</v>
      </c>
      <c r="V77" s="10">
        <f>Table2[[#This Row],[Profit]]/Table2[[#This Row],[Sales_Amount]]</f>
        <v>0.21529915966386554</v>
      </c>
      <c r="W77" t="str">
        <f>IF(Table2[[#This Row],[Sales_Amount]]&gt;10000,"High Value","Normal")</f>
        <v>Normal</v>
      </c>
      <c r="X77" t="str">
        <f t="shared" si="3"/>
        <v>High</v>
      </c>
      <c r="Y77" s="25">
        <f t="shared" si="4"/>
        <v>45383</v>
      </c>
      <c r="Z77">
        <f t="shared" si="5"/>
        <v>2024</v>
      </c>
    </row>
    <row r="78" spans="1:26" x14ac:dyDescent="0.3">
      <c r="A78" t="s">
        <v>297</v>
      </c>
      <c r="B78" s="4" t="s">
        <v>298</v>
      </c>
      <c r="C78" t="s">
        <v>134</v>
      </c>
      <c r="D78" t="s">
        <v>135</v>
      </c>
      <c r="E78" t="s">
        <v>67</v>
      </c>
      <c r="F78" t="s">
        <v>53</v>
      </c>
      <c r="G78" t="s">
        <v>54</v>
      </c>
      <c r="H78" t="s">
        <v>55</v>
      </c>
      <c r="I78" t="s">
        <v>26</v>
      </c>
      <c r="J78" t="s">
        <v>69</v>
      </c>
      <c r="K78" t="s">
        <v>136</v>
      </c>
      <c r="L78" s="8">
        <v>5</v>
      </c>
      <c r="M78" s="12">
        <v>42000</v>
      </c>
      <c r="N78" s="10">
        <v>0</v>
      </c>
      <c r="O78" s="12">
        <v>210000</v>
      </c>
      <c r="P78" s="12">
        <v>30742.85</v>
      </c>
      <c r="Q78" s="12">
        <v>491.42</v>
      </c>
      <c r="R78" t="s">
        <v>39</v>
      </c>
      <c r="U78" s="12">
        <f>Table2[[#This Row],[Quantity]]*Table2[[#This Row],[Unit_Price]]*(1-Table2[[#This Row],[ Discount]])</f>
        <v>210000</v>
      </c>
      <c r="V78" s="10">
        <f>Table2[[#This Row],[Profit]]/Table2[[#This Row],[Sales_Amount]]</f>
        <v>0.14639452380952381</v>
      </c>
      <c r="W78" t="str">
        <f>IF(Table2[[#This Row],[Sales_Amount]]&gt;10000,"High Value","Normal")</f>
        <v>High Value</v>
      </c>
      <c r="X78" t="str">
        <f t="shared" si="3"/>
        <v>No Discount</v>
      </c>
      <c r="Y78" s="25">
        <f t="shared" si="4"/>
        <v>45383</v>
      </c>
      <c r="Z78">
        <f t="shared" si="5"/>
        <v>2024</v>
      </c>
    </row>
    <row r="79" spans="1:26" x14ac:dyDescent="0.3">
      <c r="A79" t="s">
        <v>299</v>
      </c>
      <c r="B79" s="4" t="s">
        <v>300</v>
      </c>
      <c r="C79" t="s">
        <v>185</v>
      </c>
      <c r="D79" t="s">
        <v>186</v>
      </c>
      <c r="E79" t="s">
        <v>67</v>
      </c>
      <c r="F79" t="s">
        <v>44</v>
      </c>
      <c r="G79" t="s">
        <v>192</v>
      </c>
      <c r="H79" t="s">
        <v>193</v>
      </c>
      <c r="I79" t="s">
        <v>47</v>
      </c>
      <c r="J79" t="s">
        <v>85</v>
      </c>
      <c r="K79" t="s">
        <v>102</v>
      </c>
      <c r="L79" s="8">
        <v>3</v>
      </c>
      <c r="M79" s="12">
        <v>3200</v>
      </c>
      <c r="N79" s="10">
        <v>0.15</v>
      </c>
      <c r="O79" s="12">
        <v>8160</v>
      </c>
      <c r="P79" s="12">
        <v>1092.76</v>
      </c>
      <c r="Q79" s="12">
        <v>193.96</v>
      </c>
      <c r="R79" t="s">
        <v>64</v>
      </c>
      <c r="U79" s="12">
        <f>Table2[[#This Row],[Quantity]]*Table2[[#This Row],[Unit_Price]]*(1-Table2[[#This Row],[ Discount]])</f>
        <v>8160</v>
      </c>
      <c r="V79" s="10">
        <f>Table2[[#This Row],[Profit]]/Table2[[#This Row],[Sales_Amount]]</f>
        <v>0.13391666666666666</v>
      </c>
      <c r="W79" t="str">
        <f>IF(Table2[[#This Row],[Sales_Amount]]&gt;10000,"High Value","Normal")</f>
        <v>Normal</v>
      </c>
      <c r="X79" t="str">
        <f t="shared" si="3"/>
        <v>High</v>
      </c>
      <c r="Y79" s="25">
        <f t="shared" si="4"/>
        <v>45383</v>
      </c>
      <c r="Z79">
        <f t="shared" si="5"/>
        <v>2024</v>
      </c>
    </row>
    <row r="80" spans="1:26" x14ac:dyDescent="0.3">
      <c r="A80" t="s">
        <v>301</v>
      </c>
      <c r="B80" s="4" t="s">
        <v>302</v>
      </c>
      <c r="C80" t="s">
        <v>178</v>
      </c>
      <c r="D80" t="s">
        <v>179</v>
      </c>
      <c r="E80" t="s">
        <v>22</v>
      </c>
      <c r="F80" t="s">
        <v>23</v>
      </c>
      <c r="G80" t="s">
        <v>74</v>
      </c>
      <c r="H80" t="s">
        <v>75</v>
      </c>
      <c r="I80" t="s">
        <v>36</v>
      </c>
      <c r="J80" t="s">
        <v>37</v>
      </c>
      <c r="K80" t="s">
        <v>125</v>
      </c>
      <c r="L80" s="8">
        <v>4</v>
      </c>
      <c r="M80" s="12">
        <v>8500</v>
      </c>
      <c r="N80" s="10">
        <v>0</v>
      </c>
      <c r="O80" s="12">
        <v>34000</v>
      </c>
      <c r="P80" s="12">
        <v>8085.25</v>
      </c>
      <c r="Q80" s="12">
        <v>356.38</v>
      </c>
      <c r="R80" t="s">
        <v>39</v>
      </c>
      <c r="U80" s="12">
        <f>Table2[[#This Row],[Quantity]]*Table2[[#This Row],[Unit_Price]]*(1-Table2[[#This Row],[ Discount]])</f>
        <v>34000</v>
      </c>
      <c r="V80" s="10">
        <f>Table2[[#This Row],[Profit]]/Table2[[#This Row],[Sales_Amount]]</f>
        <v>0.23780147058823528</v>
      </c>
      <c r="W80" t="str">
        <f>IF(Table2[[#This Row],[Sales_Amount]]&gt;10000,"High Value","Normal")</f>
        <v>High Value</v>
      </c>
      <c r="X80" t="str">
        <f t="shared" si="3"/>
        <v>No Discount</v>
      </c>
      <c r="Y80" s="25">
        <f t="shared" si="4"/>
        <v>45383</v>
      </c>
      <c r="Z80">
        <f t="shared" si="5"/>
        <v>2024</v>
      </c>
    </row>
    <row r="81" spans="1:26" x14ac:dyDescent="0.3">
      <c r="A81" t="s">
        <v>303</v>
      </c>
      <c r="B81" s="4" t="s">
        <v>304</v>
      </c>
      <c r="C81" t="s">
        <v>89</v>
      </c>
      <c r="D81" t="s">
        <v>90</v>
      </c>
      <c r="E81" t="s">
        <v>67</v>
      </c>
      <c r="F81" t="s">
        <v>23</v>
      </c>
      <c r="G81" t="s">
        <v>24</v>
      </c>
      <c r="H81" t="s">
        <v>25</v>
      </c>
      <c r="I81" t="s">
        <v>26</v>
      </c>
      <c r="J81" t="s">
        <v>91</v>
      </c>
      <c r="K81" t="s">
        <v>92</v>
      </c>
      <c r="L81" s="8">
        <v>5</v>
      </c>
      <c r="M81" s="12">
        <v>1200</v>
      </c>
      <c r="N81" s="10">
        <v>0.05</v>
      </c>
      <c r="O81" s="12">
        <v>5700</v>
      </c>
      <c r="P81" s="12">
        <v>647.39</v>
      </c>
      <c r="Q81" s="12">
        <v>342.98</v>
      </c>
      <c r="R81" t="s">
        <v>64</v>
      </c>
      <c r="U81" s="12">
        <f>Table2[[#This Row],[Quantity]]*Table2[[#This Row],[Unit_Price]]*(1-Table2[[#This Row],[ Discount]])</f>
        <v>5700</v>
      </c>
      <c r="V81" s="10">
        <f>Table2[[#This Row],[Profit]]/Table2[[#This Row],[Sales_Amount]]</f>
        <v>0.11357719298245614</v>
      </c>
      <c r="W81" t="str">
        <f>IF(Table2[[#This Row],[Sales_Amount]]&gt;10000,"High Value","Normal")</f>
        <v>Normal</v>
      </c>
      <c r="X81" t="str">
        <f t="shared" si="3"/>
        <v>Low</v>
      </c>
      <c r="Y81" s="25">
        <f t="shared" si="4"/>
        <v>45383</v>
      </c>
      <c r="Z81">
        <f t="shared" si="5"/>
        <v>2024</v>
      </c>
    </row>
    <row r="82" spans="1:26" x14ac:dyDescent="0.3">
      <c r="A82" t="s">
        <v>305</v>
      </c>
      <c r="B82" s="4" t="s">
        <v>277</v>
      </c>
      <c r="C82" t="s">
        <v>20</v>
      </c>
      <c r="D82" t="s">
        <v>21</v>
      </c>
      <c r="E82" t="s">
        <v>67</v>
      </c>
      <c r="F82" t="s">
        <v>106</v>
      </c>
      <c r="G82" t="s">
        <v>306</v>
      </c>
      <c r="H82" t="s">
        <v>307</v>
      </c>
      <c r="I82" t="s">
        <v>26</v>
      </c>
      <c r="J82" t="s">
        <v>91</v>
      </c>
      <c r="K82" t="s">
        <v>308</v>
      </c>
      <c r="L82" s="8">
        <v>1</v>
      </c>
      <c r="M82" s="12">
        <v>4500</v>
      </c>
      <c r="N82" s="10">
        <v>0.15</v>
      </c>
      <c r="O82" s="12">
        <v>3825</v>
      </c>
      <c r="P82" s="12">
        <v>353.28</v>
      </c>
      <c r="Q82" s="12">
        <v>64.819999999999993</v>
      </c>
      <c r="R82" t="s">
        <v>64</v>
      </c>
      <c r="U82" s="12">
        <f>Table2[[#This Row],[Quantity]]*Table2[[#This Row],[Unit_Price]]*(1-Table2[[#This Row],[ Discount]])</f>
        <v>3825</v>
      </c>
      <c r="V82" s="10">
        <f>Table2[[#This Row],[Profit]]/Table2[[#This Row],[Sales_Amount]]</f>
        <v>9.2360784313725477E-2</v>
      </c>
      <c r="W82" t="str">
        <f>IF(Table2[[#This Row],[Sales_Amount]]&gt;10000,"High Value","Normal")</f>
        <v>Normal</v>
      </c>
      <c r="X82" t="str">
        <f t="shared" si="3"/>
        <v>High</v>
      </c>
      <c r="Y82" s="25">
        <f t="shared" si="4"/>
        <v>45383</v>
      </c>
      <c r="Z82">
        <f t="shared" si="5"/>
        <v>2024</v>
      </c>
    </row>
    <row r="83" spans="1:26" x14ac:dyDescent="0.3">
      <c r="A83" t="s">
        <v>309</v>
      </c>
      <c r="B83" s="4" t="s">
        <v>286</v>
      </c>
      <c r="C83" t="s">
        <v>72</v>
      </c>
      <c r="D83" t="s">
        <v>73</v>
      </c>
      <c r="E83" t="s">
        <v>52</v>
      </c>
      <c r="F83" t="s">
        <v>23</v>
      </c>
      <c r="G83" t="s">
        <v>34</v>
      </c>
      <c r="H83" t="s">
        <v>62</v>
      </c>
      <c r="I83" t="s">
        <v>47</v>
      </c>
      <c r="J83" t="s">
        <v>119</v>
      </c>
      <c r="K83" t="s">
        <v>310</v>
      </c>
      <c r="L83" s="8">
        <v>2</v>
      </c>
      <c r="M83" s="12">
        <v>1500</v>
      </c>
      <c r="N83" s="10">
        <v>0</v>
      </c>
      <c r="O83" s="12">
        <v>3000</v>
      </c>
      <c r="P83" s="12">
        <v>795.47</v>
      </c>
      <c r="Q83" s="12">
        <v>78.08</v>
      </c>
      <c r="R83" t="s">
        <v>64</v>
      </c>
      <c r="U83" s="12">
        <f>Table2[[#This Row],[Quantity]]*Table2[[#This Row],[Unit_Price]]*(1-Table2[[#This Row],[ Discount]])</f>
        <v>3000</v>
      </c>
      <c r="V83" s="10">
        <f>Table2[[#This Row],[Profit]]/Table2[[#This Row],[Sales_Amount]]</f>
        <v>0.26515666666666665</v>
      </c>
      <c r="W83" t="str">
        <f>IF(Table2[[#This Row],[Sales_Amount]]&gt;10000,"High Value","Normal")</f>
        <v>Normal</v>
      </c>
      <c r="X83" t="str">
        <f t="shared" si="3"/>
        <v>No Discount</v>
      </c>
      <c r="Y83" s="25">
        <f t="shared" si="4"/>
        <v>45383</v>
      </c>
      <c r="Z83">
        <f t="shared" si="5"/>
        <v>2024</v>
      </c>
    </row>
    <row r="84" spans="1:26" x14ac:dyDescent="0.3">
      <c r="A84" t="s">
        <v>311</v>
      </c>
      <c r="B84" s="4" t="s">
        <v>300</v>
      </c>
      <c r="C84" t="s">
        <v>60</v>
      </c>
      <c r="D84" t="s">
        <v>61</v>
      </c>
      <c r="E84" t="s">
        <v>22</v>
      </c>
      <c r="F84" t="s">
        <v>44</v>
      </c>
      <c r="G84" t="s">
        <v>216</v>
      </c>
      <c r="H84" t="s">
        <v>266</v>
      </c>
      <c r="I84" t="s">
        <v>26</v>
      </c>
      <c r="J84" t="s">
        <v>91</v>
      </c>
      <c r="K84" t="s">
        <v>308</v>
      </c>
      <c r="L84" s="8">
        <v>2</v>
      </c>
      <c r="M84" s="12">
        <v>4500</v>
      </c>
      <c r="N84" s="10">
        <v>0</v>
      </c>
      <c r="O84" s="12">
        <v>9000</v>
      </c>
      <c r="P84" s="12">
        <v>1601.32</v>
      </c>
      <c r="Q84" s="12">
        <v>211.93</v>
      </c>
      <c r="R84" t="s">
        <v>57</v>
      </c>
      <c r="U84" s="12">
        <f>Table2[[#This Row],[Quantity]]*Table2[[#This Row],[Unit_Price]]*(1-Table2[[#This Row],[ Discount]])</f>
        <v>9000</v>
      </c>
      <c r="V84" s="10">
        <f>Table2[[#This Row],[Profit]]/Table2[[#This Row],[Sales_Amount]]</f>
        <v>0.17792444444444444</v>
      </c>
      <c r="W84" t="str">
        <f>IF(Table2[[#This Row],[Sales_Amount]]&gt;10000,"High Value","Normal")</f>
        <v>Normal</v>
      </c>
      <c r="X84" t="str">
        <f t="shared" si="3"/>
        <v>No Discount</v>
      </c>
      <c r="Y84" s="25">
        <f t="shared" si="4"/>
        <v>45383</v>
      </c>
      <c r="Z84">
        <f t="shared" si="5"/>
        <v>2024</v>
      </c>
    </row>
    <row r="85" spans="1:26" x14ac:dyDescent="0.3">
      <c r="A85" t="s">
        <v>312</v>
      </c>
      <c r="B85" s="4" t="s">
        <v>313</v>
      </c>
      <c r="C85" t="s">
        <v>32</v>
      </c>
      <c r="D85" t="s">
        <v>33</v>
      </c>
      <c r="E85" t="s">
        <v>22</v>
      </c>
      <c r="F85" t="s">
        <v>53</v>
      </c>
      <c r="G85" t="s">
        <v>83</v>
      </c>
      <c r="H85" t="s">
        <v>84</v>
      </c>
      <c r="I85" t="s">
        <v>26</v>
      </c>
      <c r="J85" t="s">
        <v>69</v>
      </c>
      <c r="K85" t="s">
        <v>80</v>
      </c>
      <c r="L85" s="8">
        <v>3</v>
      </c>
      <c r="M85" s="12">
        <v>50000</v>
      </c>
      <c r="N85" s="10">
        <v>0.1</v>
      </c>
      <c r="O85" s="12">
        <v>135000</v>
      </c>
      <c r="P85" s="12">
        <v>11810.37</v>
      </c>
      <c r="Q85" s="12">
        <v>148.38999999999999</v>
      </c>
      <c r="R85" t="s">
        <v>64</v>
      </c>
      <c r="U85" s="12">
        <f>Table2[[#This Row],[Quantity]]*Table2[[#This Row],[Unit_Price]]*(1-Table2[[#This Row],[ Discount]])</f>
        <v>135000</v>
      </c>
      <c r="V85" s="10">
        <f>Table2[[#This Row],[Profit]]/Table2[[#This Row],[Sales_Amount]]</f>
        <v>8.7484222222222227E-2</v>
      </c>
      <c r="W85" t="str">
        <f>IF(Table2[[#This Row],[Sales_Amount]]&gt;10000,"High Value","Normal")</f>
        <v>High Value</v>
      </c>
      <c r="X85" t="str">
        <f t="shared" si="3"/>
        <v>Medium</v>
      </c>
      <c r="Y85" s="25">
        <f t="shared" si="4"/>
        <v>45383</v>
      </c>
      <c r="Z85">
        <f t="shared" si="5"/>
        <v>2024</v>
      </c>
    </row>
    <row r="86" spans="1:26" x14ac:dyDescent="0.3">
      <c r="A86" t="s">
        <v>314</v>
      </c>
      <c r="B86" s="4" t="s">
        <v>315</v>
      </c>
      <c r="C86" t="s">
        <v>122</v>
      </c>
      <c r="D86" t="s">
        <v>123</v>
      </c>
      <c r="E86" t="s">
        <v>52</v>
      </c>
      <c r="F86" t="s">
        <v>44</v>
      </c>
      <c r="G86" t="s">
        <v>216</v>
      </c>
      <c r="H86" t="s">
        <v>316</v>
      </c>
      <c r="I86" t="s">
        <v>36</v>
      </c>
      <c r="J86" t="s">
        <v>37</v>
      </c>
      <c r="K86" t="s">
        <v>38</v>
      </c>
      <c r="L86" s="8">
        <v>1</v>
      </c>
      <c r="M86" s="12">
        <v>6000</v>
      </c>
      <c r="N86" s="10">
        <v>0</v>
      </c>
      <c r="O86" s="12">
        <v>6000</v>
      </c>
      <c r="P86" s="12">
        <v>806.46</v>
      </c>
      <c r="Q86" s="12">
        <v>431.78</v>
      </c>
      <c r="R86" t="s">
        <v>39</v>
      </c>
      <c r="U86" s="12">
        <f>Table2[[#This Row],[Quantity]]*Table2[[#This Row],[Unit_Price]]*(1-Table2[[#This Row],[ Discount]])</f>
        <v>6000</v>
      </c>
      <c r="V86" s="10">
        <f>Table2[[#This Row],[Profit]]/Table2[[#This Row],[Sales_Amount]]</f>
        <v>0.13441</v>
      </c>
      <c r="W86" t="str">
        <f>IF(Table2[[#This Row],[Sales_Amount]]&gt;10000,"High Value","Normal")</f>
        <v>Normal</v>
      </c>
      <c r="X86" t="str">
        <f t="shared" si="3"/>
        <v>No Discount</v>
      </c>
      <c r="Y86" s="25">
        <f t="shared" si="4"/>
        <v>45383</v>
      </c>
      <c r="Z86">
        <f t="shared" si="5"/>
        <v>2024</v>
      </c>
    </row>
    <row r="87" spans="1:26" x14ac:dyDescent="0.3">
      <c r="A87" t="s">
        <v>317</v>
      </c>
      <c r="B87" s="4" t="s">
        <v>318</v>
      </c>
      <c r="C87" t="s">
        <v>166</v>
      </c>
      <c r="D87" t="s">
        <v>167</v>
      </c>
      <c r="E87" t="s">
        <v>52</v>
      </c>
      <c r="F87" t="s">
        <v>44</v>
      </c>
      <c r="G87" t="s">
        <v>192</v>
      </c>
      <c r="H87" t="s">
        <v>201</v>
      </c>
      <c r="I87" t="s">
        <v>26</v>
      </c>
      <c r="J87" t="s">
        <v>27</v>
      </c>
      <c r="K87" t="s">
        <v>76</v>
      </c>
      <c r="L87" s="8">
        <v>1</v>
      </c>
      <c r="M87" s="12">
        <v>75000</v>
      </c>
      <c r="N87" s="10">
        <v>0</v>
      </c>
      <c r="O87" s="12">
        <v>75000</v>
      </c>
      <c r="P87" s="12">
        <v>16848.88</v>
      </c>
      <c r="Q87" s="12">
        <v>464.24</v>
      </c>
      <c r="R87" t="s">
        <v>64</v>
      </c>
      <c r="U87" s="12">
        <f>Table2[[#This Row],[Quantity]]*Table2[[#This Row],[Unit_Price]]*(1-Table2[[#This Row],[ Discount]])</f>
        <v>75000</v>
      </c>
      <c r="V87" s="10">
        <f>Table2[[#This Row],[Profit]]/Table2[[#This Row],[Sales_Amount]]</f>
        <v>0.22465173333333335</v>
      </c>
      <c r="W87" t="str">
        <f>IF(Table2[[#This Row],[Sales_Amount]]&gt;10000,"High Value","Normal")</f>
        <v>High Value</v>
      </c>
      <c r="X87" t="str">
        <f t="shared" si="3"/>
        <v>No Discount</v>
      </c>
      <c r="Y87" s="25">
        <f t="shared" si="4"/>
        <v>45383</v>
      </c>
      <c r="Z87">
        <f t="shared" si="5"/>
        <v>2024</v>
      </c>
    </row>
    <row r="88" spans="1:26" x14ac:dyDescent="0.3">
      <c r="A88" t="s">
        <v>319</v>
      </c>
      <c r="B88" s="4" t="s">
        <v>293</v>
      </c>
      <c r="C88" t="s">
        <v>104</v>
      </c>
      <c r="D88" t="s">
        <v>105</v>
      </c>
      <c r="E88" t="s">
        <v>52</v>
      </c>
      <c r="F88" t="s">
        <v>53</v>
      </c>
      <c r="G88" t="s">
        <v>83</v>
      </c>
      <c r="H88" t="s">
        <v>251</v>
      </c>
      <c r="I88" t="s">
        <v>26</v>
      </c>
      <c r="J88" t="s">
        <v>69</v>
      </c>
      <c r="K88" t="s">
        <v>80</v>
      </c>
      <c r="L88" s="8">
        <v>4</v>
      </c>
      <c r="M88" s="12">
        <v>50000</v>
      </c>
      <c r="N88" s="10">
        <v>0</v>
      </c>
      <c r="O88" s="12">
        <v>200000</v>
      </c>
      <c r="P88" s="12">
        <v>36503.1</v>
      </c>
      <c r="Q88" s="12">
        <v>194.29</v>
      </c>
      <c r="R88" t="s">
        <v>39</v>
      </c>
      <c r="U88" s="12">
        <f>Table2[[#This Row],[Quantity]]*Table2[[#This Row],[Unit_Price]]*(1-Table2[[#This Row],[ Discount]])</f>
        <v>200000</v>
      </c>
      <c r="V88" s="10">
        <f>Table2[[#This Row],[Profit]]/Table2[[#This Row],[Sales_Amount]]</f>
        <v>0.1825155</v>
      </c>
      <c r="W88" t="str">
        <f>IF(Table2[[#This Row],[Sales_Amount]]&gt;10000,"High Value","Normal")</f>
        <v>High Value</v>
      </c>
      <c r="X88" t="str">
        <f t="shared" si="3"/>
        <v>No Discount</v>
      </c>
      <c r="Y88" s="25">
        <f t="shared" si="4"/>
        <v>45383</v>
      </c>
      <c r="Z88">
        <f t="shared" si="5"/>
        <v>2024</v>
      </c>
    </row>
    <row r="89" spans="1:26" x14ac:dyDescent="0.3">
      <c r="A89" t="s">
        <v>320</v>
      </c>
      <c r="B89" s="4" t="s">
        <v>304</v>
      </c>
      <c r="C89" t="s">
        <v>178</v>
      </c>
      <c r="D89" t="s">
        <v>179</v>
      </c>
      <c r="E89" t="s">
        <v>22</v>
      </c>
      <c r="F89" t="s">
        <v>106</v>
      </c>
      <c r="G89" t="s">
        <v>107</v>
      </c>
      <c r="H89" t="s">
        <v>108</v>
      </c>
      <c r="I89" t="s">
        <v>36</v>
      </c>
      <c r="J89" t="s">
        <v>37</v>
      </c>
      <c r="K89" t="s">
        <v>38</v>
      </c>
      <c r="L89" s="8">
        <v>2</v>
      </c>
      <c r="M89" s="12">
        <v>6000</v>
      </c>
      <c r="N89" s="10">
        <v>0</v>
      </c>
      <c r="O89" s="12">
        <v>12000</v>
      </c>
      <c r="P89" s="12">
        <v>2196.54</v>
      </c>
      <c r="Q89" s="12">
        <v>192.28</v>
      </c>
      <c r="R89" t="s">
        <v>57</v>
      </c>
      <c r="U89" s="12">
        <f>Table2[[#This Row],[Quantity]]*Table2[[#This Row],[Unit_Price]]*(1-Table2[[#This Row],[ Discount]])</f>
        <v>12000</v>
      </c>
      <c r="V89" s="10">
        <f>Table2[[#This Row],[Profit]]/Table2[[#This Row],[Sales_Amount]]</f>
        <v>0.18304499999999999</v>
      </c>
      <c r="W89" t="str">
        <f>IF(Table2[[#This Row],[Sales_Amount]]&gt;10000,"High Value","Normal")</f>
        <v>High Value</v>
      </c>
      <c r="X89" t="str">
        <f t="shared" si="3"/>
        <v>No Discount</v>
      </c>
      <c r="Y89" s="25">
        <f t="shared" si="4"/>
        <v>45383</v>
      </c>
      <c r="Z89">
        <f t="shared" si="5"/>
        <v>2024</v>
      </c>
    </row>
    <row r="90" spans="1:26" x14ac:dyDescent="0.3">
      <c r="A90" t="s">
        <v>321</v>
      </c>
      <c r="B90" s="4" t="s">
        <v>322</v>
      </c>
      <c r="C90" t="s">
        <v>117</v>
      </c>
      <c r="D90" t="s">
        <v>118</v>
      </c>
      <c r="E90" t="s">
        <v>52</v>
      </c>
      <c r="F90" t="s">
        <v>106</v>
      </c>
      <c r="G90" t="s">
        <v>107</v>
      </c>
      <c r="H90" t="s">
        <v>108</v>
      </c>
      <c r="I90" t="s">
        <v>36</v>
      </c>
      <c r="J90" t="s">
        <v>37</v>
      </c>
      <c r="K90" t="s">
        <v>125</v>
      </c>
      <c r="L90" s="8">
        <v>1</v>
      </c>
      <c r="M90" s="12">
        <v>8500</v>
      </c>
      <c r="N90" s="10">
        <v>0</v>
      </c>
      <c r="O90" s="12">
        <v>8500</v>
      </c>
      <c r="P90" s="12">
        <v>1496.82</v>
      </c>
      <c r="Q90" s="12">
        <v>103.63</v>
      </c>
      <c r="R90" t="s">
        <v>57</v>
      </c>
      <c r="U90" s="12">
        <f>Table2[[#This Row],[Quantity]]*Table2[[#This Row],[Unit_Price]]*(1-Table2[[#This Row],[ Discount]])</f>
        <v>8500</v>
      </c>
      <c r="V90" s="10">
        <f>Table2[[#This Row],[Profit]]/Table2[[#This Row],[Sales_Amount]]</f>
        <v>0.1760964705882353</v>
      </c>
      <c r="W90" t="str">
        <f>IF(Table2[[#This Row],[Sales_Amount]]&gt;10000,"High Value","Normal")</f>
        <v>Normal</v>
      </c>
      <c r="X90" t="str">
        <f t="shared" si="3"/>
        <v>No Discount</v>
      </c>
      <c r="Y90" s="25">
        <f t="shared" si="4"/>
        <v>45383</v>
      </c>
      <c r="Z90">
        <f t="shared" si="5"/>
        <v>2024</v>
      </c>
    </row>
    <row r="91" spans="1:26" x14ac:dyDescent="0.3">
      <c r="A91" t="s">
        <v>323</v>
      </c>
      <c r="B91" s="4" t="s">
        <v>313</v>
      </c>
      <c r="C91" t="s">
        <v>72</v>
      </c>
      <c r="D91" t="s">
        <v>73</v>
      </c>
      <c r="E91" t="s">
        <v>52</v>
      </c>
      <c r="F91" t="s">
        <v>53</v>
      </c>
      <c r="G91" t="s">
        <v>54</v>
      </c>
      <c r="H91" t="s">
        <v>203</v>
      </c>
      <c r="I91" t="s">
        <v>47</v>
      </c>
      <c r="J91" t="s">
        <v>48</v>
      </c>
      <c r="K91" t="s">
        <v>196</v>
      </c>
      <c r="L91" s="8">
        <v>2</v>
      </c>
      <c r="M91" s="12">
        <v>2500</v>
      </c>
      <c r="N91" s="10">
        <v>0.2</v>
      </c>
      <c r="O91" s="12">
        <v>4000</v>
      </c>
      <c r="P91" s="12">
        <v>734.04</v>
      </c>
      <c r="Q91" s="12">
        <v>468.1</v>
      </c>
      <c r="R91" t="s">
        <v>39</v>
      </c>
      <c r="U91" s="12">
        <f>Table2[[#This Row],[Quantity]]*Table2[[#This Row],[Unit_Price]]*(1-Table2[[#This Row],[ Discount]])</f>
        <v>4000</v>
      </c>
      <c r="V91" s="10">
        <f>Table2[[#This Row],[Profit]]/Table2[[#This Row],[Sales_Amount]]</f>
        <v>0.18350999999999998</v>
      </c>
      <c r="W91" t="str">
        <f>IF(Table2[[#This Row],[Sales_Amount]]&gt;10000,"High Value","Normal")</f>
        <v>Normal</v>
      </c>
      <c r="X91" t="str">
        <f t="shared" si="3"/>
        <v>High</v>
      </c>
      <c r="Y91" s="25">
        <f t="shared" si="4"/>
        <v>45383</v>
      </c>
      <c r="Z91">
        <f t="shared" si="5"/>
        <v>2024</v>
      </c>
    </row>
    <row r="92" spans="1:26" x14ac:dyDescent="0.3">
      <c r="A92" t="s">
        <v>324</v>
      </c>
      <c r="B92" s="4" t="s">
        <v>325</v>
      </c>
      <c r="C92" t="s">
        <v>206</v>
      </c>
      <c r="D92" t="s">
        <v>207</v>
      </c>
      <c r="E92" t="s">
        <v>67</v>
      </c>
      <c r="F92" t="s">
        <v>53</v>
      </c>
      <c r="G92" t="s">
        <v>100</v>
      </c>
      <c r="H92" t="s">
        <v>213</v>
      </c>
      <c r="I92" t="s">
        <v>36</v>
      </c>
      <c r="J92" t="s">
        <v>113</v>
      </c>
      <c r="K92" t="s">
        <v>246</v>
      </c>
      <c r="L92" s="8">
        <v>5</v>
      </c>
      <c r="M92" s="12">
        <v>1200</v>
      </c>
      <c r="N92" s="10">
        <v>0.05</v>
      </c>
      <c r="O92" s="12">
        <v>5700</v>
      </c>
      <c r="P92" s="12">
        <v>604.1</v>
      </c>
      <c r="Q92" s="12">
        <v>396.73</v>
      </c>
      <c r="R92" t="s">
        <v>29</v>
      </c>
      <c r="U92" s="12">
        <f>Table2[[#This Row],[Quantity]]*Table2[[#This Row],[Unit_Price]]*(1-Table2[[#This Row],[ Discount]])</f>
        <v>5700</v>
      </c>
      <c r="V92" s="10">
        <f>Table2[[#This Row],[Profit]]/Table2[[#This Row],[Sales_Amount]]</f>
        <v>0.10598245614035089</v>
      </c>
      <c r="W92" t="str">
        <f>IF(Table2[[#This Row],[Sales_Amount]]&gt;10000,"High Value","Normal")</f>
        <v>Normal</v>
      </c>
      <c r="X92" t="str">
        <f t="shared" si="3"/>
        <v>Low</v>
      </c>
      <c r="Y92" s="25">
        <f t="shared" si="4"/>
        <v>45383</v>
      </c>
      <c r="Z92">
        <f t="shared" si="5"/>
        <v>2024</v>
      </c>
    </row>
    <row r="93" spans="1:26" x14ac:dyDescent="0.3">
      <c r="A93" t="s">
        <v>326</v>
      </c>
      <c r="B93" s="4" t="s">
        <v>327</v>
      </c>
      <c r="C93" t="s">
        <v>104</v>
      </c>
      <c r="D93" t="s">
        <v>105</v>
      </c>
      <c r="E93" t="s">
        <v>67</v>
      </c>
      <c r="F93" t="s">
        <v>23</v>
      </c>
      <c r="G93" t="s">
        <v>74</v>
      </c>
      <c r="H93" t="s">
        <v>152</v>
      </c>
      <c r="I93" t="s">
        <v>26</v>
      </c>
      <c r="J93" t="s">
        <v>27</v>
      </c>
      <c r="K93" t="s">
        <v>76</v>
      </c>
      <c r="L93" s="8">
        <v>2</v>
      </c>
      <c r="M93" s="12">
        <v>75000</v>
      </c>
      <c r="N93" s="10">
        <v>0.1</v>
      </c>
      <c r="O93" s="12">
        <v>135000</v>
      </c>
      <c r="P93" s="12">
        <v>17158.61</v>
      </c>
      <c r="Q93" s="12">
        <v>443.6</v>
      </c>
      <c r="R93" t="s">
        <v>57</v>
      </c>
      <c r="U93" s="12">
        <f>Table2[[#This Row],[Quantity]]*Table2[[#This Row],[Unit_Price]]*(1-Table2[[#This Row],[ Discount]])</f>
        <v>135000</v>
      </c>
      <c r="V93" s="10">
        <f>Table2[[#This Row],[Profit]]/Table2[[#This Row],[Sales_Amount]]</f>
        <v>0.12710081481481481</v>
      </c>
      <c r="W93" t="str">
        <f>IF(Table2[[#This Row],[Sales_Amount]]&gt;10000,"High Value","Normal")</f>
        <v>High Value</v>
      </c>
      <c r="X93" t="str">
        <f t="shared" si="3"/>
        <v>Medium</v>
      </c>
      <c r="Y93" s="25">
        <f t="shared" si="4"/>
        <v>45383</v>
      </c>
      <c r="Z93">
        <f t="shared" si="5"/>
        <v>2024</v>
      </c>
    </row>
    <row r="94" spans="1:26" x14ac:dyDescent="0.3">
      <c r="A94" t="s">
        <v>328</v>
      </c>
      <c r="B94" s="4" t="s">
        <v>283</v>
      </c>
      <c r="C94" t="s">
        <v>162</v>
      </c>
      <c r="D94" t="s">
        <v>163</v>
      </c>
      <c r="E94" t="s">
        <v>67</v>
      </c>
      <c r="F94" t="s">
        <v>106</v>
      </c>
      <c r="G94" t="s">
        <v>149</v>
      </c>
      <c r="H94" t="s">
        <v>180</v>
      </c>
      <c r="I94" t="s">
        <v>47</v>
      </c>
      <c r="J94" t="s">
        <v>48</v>
      </c>
      <c r="K94" t="s">
        <v>49</v>
      </c>
      <c r="L94" s="8">
        <v>5</v>
      </c>
      <c r="M94" s="12">
        <v>3500</v>
      </c>
      <c r="N94" s="10">
        <v>0</v>
      </c>
      <c r="O94" s="12">
        <v>17500</v>
      </c>
      <c r="P94" s="12">
        <v>1652.5</v>
      </c>
      <c r="Q94" s="12">
        <v>139</v>
      </c>
      <c r="R94" t="s">
        <v>64</v>
      </c>
      <c r="U94" s="12">
        <f>Table2[[#This Row],[Quantity]]*Table2[[#This Row],[Unit_Price]]*(1-Table2[[#This Row],[ Discount]])</f>
        <v>17500</v>
      </c>
      <c r="V94" s="10">
        <f>Table2[[#This Row],[Profit]]/Table2[[#This Row],[Sales_Amount]]</f>
        <v>9.4428571428571431E-2</v>
      </c>
      <c r="W94" t="str">
        <f>IF(Table2[[#This Row],[Sales_Amount]]&gt;10000,"High Value","Normal")</f>
        <v>High Value</v>
      </c>
      <c r="X94" t="str">
        <f t="shared" si="3"/>
        <v>No Discount</v>
      </c>
      <c r="Y94" s="25">
        <f t="shared" si="4"/>
        <v>45383</v>
      </c>
      <c r="Z94">
        <f t="shared" si="5"/>
        <v>2024</v>
      </c>
    </row>
    <row r="95" spans="1:26" x14ac:dyDescent="0.3">
      <c r="A95" t="s">
        <v>329</v>
      </c>
      <c r="B95" s="4" t="s">
        <v>330</v>
      </c>
      <c r="C95" t="s">
        <v>72</v>
      </c>
      <c r="D95" t="s">
        <v>73</v>
      </c>
      <c r="E95" t="s">
        <v>22</v>
      </c>
      <c r="F95" t="s">
        <v>53</v>
      </c>
      <c r="G95" t="s">
        <v>83</v>
      </c>
      <c r="H95" t="s">
        <v>251</v>
      </c>
      <c r="I95" t="s">
        <v>47</v>
      </c>
      <c r="J95" t="s">
        <v>48</v>
      </c>
      <c r="K95" t="s">
        <v>49</v>
      </c>
      <c r="L95" s="8">
        <v>3</v>
      </c>
      <c r="M95" s="12">
        <v>3500</v>
      </c>
      <c r="N95" s="10">
        <v>0.15</v>
      </c>
      <c r="O95" s="12">
        <v>8925</v>
      </c>
      <c r="P95" s="12">
        <v>1146.92</v>
      </c>
      <c r="Q95" s="12">
        <v>350.63</v>
      </c>
      <c r="R95" t="s">
        <v>64</v>
      </c>
      <c r="U95" s="12">
        <f>Table2[[#This Row],[Quantity]]*Table2[[#This Row],[Unit_Price]]*(1-Table2[[#This Row],[ Discount]])</f>
        <v>8925</v>
      </c>
      <c r="V95" s="10">
        <f>Table2[[#This Row],[Profit]]/Table2[[#This Row],[Sales_Amount]]</f>
        <v>0.12850644257703081</v>
      </c>
      <c r="W95" t="str">
        <f>IF(Table2[[#This Row],[Sales_Amount]]&gt;10000,"High Value","Normal")</f>
        <v>Normal</v>
      </c>
      <c r="X95" t="str">
        <f t="shared" si="3"/>
        <v>High</v>
      </c>
      <c r="Y95" s="25">
        <f t="shared" si="4"/>
        <v>45413</v>
      </c>
      <c r="Z95">
        <f t="shared" si="5"/>
        <v>2024</v>
      </c>
    </row>
    <row r="96" spans="1:26" x14ac:dyDescent="0.3">
      <c r="A96" t="s">
        <v>331</v>
      </c>
      <c r="B96" s="4" t="s">
        <v>332</v>
      </c>
      <c r="C96" t="s">
        <v>206</v>
      </c>
      <c r="D96" t="s">
        <v>207</v>
      </c>
      <c r="E96" t="s">
        <v>22</v>
      </c>
      <c r="F96" t="s">
        <v>44</v>
      </c>
      <c r="G96" t="s">
        <v>216</v>
      </c>
      <c r="H96" t="s">
        <v>217</v>
      </c>
      <c r="I96" t="s">
        <v>36</v>
      </c>
      <c r="J96" t="s">
        <v>113</v>
      </c>
      <c r="K96" t="s">
        <v>114</v>
      </c>
      <c r="L96" s="8">
        <v>4</v>
      </c>
      <c r="M96" s="12">
        <v>600</v>
      </c>
      <c r="N96" s="10">
        <v>0</v>
      </c>
      <c r="O96" s="12">
        <v>2400</v>
      </c>
      <c r="P96" s="12">
        <v>503.05</v>
      </c>
      <c r="Q96" s="12">
        <v>256.70999999999998</v>
      </c>
      <c r="R96" t="s">
        <v>57</v>
      </c>
      <c r="U96" s="12">
        <f>Table2[[#This Row],[Quantity]]*Table2[[#This Row],[Unit_Price]]*(1-Table2[[#This Row],[ Discount]])</f>
        <v>2400</v>
      </c>
      <c r="V96" s="10">
        <f>Table2[[#This Row],[Profit]]/Table2[[#This Row],[Sales_Amount]]</f>
        <v>0.20960416666666667</v>
      </c>
      <c r="W96" t="str">
        <f>IF(Table2[[#This Row],[Sales_Amount]]&gt;10000,"High Value","Normal")</f>
        <v>Normal</v>
      </c>
      <c r="X96" t="str">
        <f t="shared" si="3"/>
        <v>No Discount</v>
      </c>
      <c r="Y96" s="25">
        <f t="shared" si="4"/>
        <v>45413</v>
      </c>
      <c r="Z96">
        <f t="shared" si="5"/>
        <v>2024</v>
      </c>
    </row>
    <row r="97" spans="1:26" x14ac:dyDescent="0.3">
      <c r="A97" t="s">
        <v>333</v>
      </c>
      <c r="B97" s="4" t="s">
        <v>334</v>
      </c>
      <c r="C97" t="s">
        <v>206</v>
      </c>
      <c r="D97" t="s">
        <v>207</v>
      </c>
      <c r="E97" t="s">
        <v>67</v>
      </c>
      <c r="F97" t="s">
        <v>44</v>
      </c>
      <c r="G97" t="s">
        <v>216</v>
      </c>
      <c r="H97" t="s">
        <v>217</v>
      </c>
      <c r="I97" t="s">
        <v>47</v>
      </c>
      <c r="J97" t="s">
        <v>48</v>
      </c>
      <c r="K97" t="s">
        <v>49</v>
      </c>
      <c r="L97" s="8">
        <v>1</v>
      </c>
      <c r="M97" s="12">
        <v>3500</v>
      </c>
      <c r="N97" s="10">
        <v>0.2</v>
      </c>
      <c r="O97" s="12">
        <v>2800</v>
      </c>
      <c r="P97" s="12">
        <v>748.52</v>
      </c>
      <c r="Q97" s="12">
        <v>389</v>
      </c>
      <c r="R97" t="s">
        <v>64</v>
      </c>
      <c r="U97" s="12">
        <f>Table2[[#This Row],[Quantity]]*Table2[[#This Row],[Unit_Price]]*(1-Table2[[#This Row],[ Discount]])</f>
        <v>2800</v>
      </c>
      <c r="V97" s="10">
        <f>Table2[[#This Row],[Profit]]/Table2[[#This Row],[Sales_Amount]]</f>
        <v>0.26732857142857142</v>
      </c>
      <c r="W97" t="str">
        <f>IF(Table2[[#This Row],[Sales_Amount]]&gt;10000,"High Value","Normal")</f>
        <v>Normal</v>
      </c>
      <c r="X97" t="str">
        <f t="shared" si="3"/>
        <v>High</v>
      </c>
      <c r="Y97" s="25">
        <f t="shared" si="4"/>
        <v>45413</v>
      </c>
      <c r="Z97">
        <f t="shared" si="5"/>
        <v>2024</v>
      </c>
    </row>
    <row r="98" spans="1:26" x14ac:dyDescent="0.3">
      <c r="A98" t="s">
        <v>335</v>
      </c>
      <c r="B98" s="4" t="s">
        <v>336</v>
      </c>
      <c r="C98" t="s">
        <v>166</v>
      </c>
      <c r="D98" t="s">
        <v>167</v>
      </c>
      <c r="E98" t="s">
        <v>52</v>
      </c>
      <c r="F98" t="s">
        <v>53</v>
      </c>
      <c r="G98" t="s">
        <v>100</v>
      </c>
      <c r="H98" t="s">
        <v>101</v>
      </c>
      <c r="I98" t="s">
        <v>36</v>
      </c>
      <c r="J98" t="s">
        <v>140</v>
      </c>
      <c r="K98" t="s">
        <v>337</v>
      </c>
      <c r="L98" s="8">
        <v>2</v>
      </c>
      <c r="M98" s="12">
        <v>5500</v>
      </c>
      <c r="N98" s="10">
        <v>0.2</v>
      </c>
      <c r="O98" s="12">
        <v>8800</v>
      </c>
      <c r="P98" s="12">
        <v>746.71</v>
      </c>
      <c r="Q98" s="12">
        <v>280.31</v>
      </c>
      <c r="R98" t="s">
        <v>29</v>
      </c>
      <c r="U98" s="12">
        <f>Table2[[#This Row],[Quantity]]*Table2[[#This Row],[Unit_Price]]*(1-Table2[[#This Row],[ Discount]])</f>
        <v>8800</v>
      </c>
      <c r="V98" s="10">
        <f>Table2[[#This Row],[Profit]]/Table2[[#This Row],[Sales_Amount]]</f>
        <v>8.485340909090909E-2</v>
      </c>
      <c r="W98" t="str">
        <f>IF(Table2[[#This Row],[Sales_Amount]]&gt;10000,"High Value","Normal")</f>
        <v>Normal</v>
      </c>
      <c r="X98" t="str">
        <f t="shared" si="3"/>
        <v>High</v>
      </c>
      <c r="Y98" s="25">
        <f t="shared" si="4"/>
        <v>45413</v>
      </c>
      <c r="Z98">
        <f t="shared" si="5"/>
        <v>2024</v>
      </c>
    </row>
    <row r="99" spans="1:26" x14ac:dyDescent="0.3">
      <c r="A99" t="s">
        <v>338</v>
      </c>
      <c r="B99" s="4" t="s">
        <v>339</v>
      </c>
      <c r="C99" t="s">
        <v>206</v>
      </c>
      <c r="D99" t="s">
        <v>207</v>
      </c>
      <c r="E99" t="s">
        <v>67</v>
      </c>
      <c r="F99" t="s">
        <v>106</v>
      </c>
      <c r="G99" t="s">
        <v>107</v>
      </c>
      <c r="H99" t="s">
        <v>108</v>
      </c>
      <c r="I99" t="s">
        <v>36</v>
      </c>
      <c r="J99" t="s">
        <v>113</v>
      </c>
      <c r="K99" t="s">
        <v>262</v>
      </c>
      <c r="L99" s="8">
        <v>1</v>
      </c>
      <c r="M99" s="12">
        <v>2500</v>
      </c>
      <c r="N99" s="10">
        <v>0.1</v>
      </c>
      <c r="O99" s="12">
        <v>2250</v>
      </c>
      <c r="P99" s="12">
        <v>217.73</v>
      </c>
      <c r="Q99" s="12">
        <v>310.26</v>
      </c>
      <c r="R99" t="s">
        <v>64</v>
      </c>
      <c r="U99" s="12">
        <f>Table2[[#This Row],[Quantity]]*Table2[[#This Row],[Unit_Price]]*(1-Table2[[#This Row],[ Discount]])</f>
        <v>2250</v>
      </c>
      <c r="V99" s="10">
        <f>Table2[[#This Row],[Profit]]/Table2[[#This Row],[Sales_Amount]]</f>
        <v>9.676888888888889E-2</v>
      </c>
      <c r="W99" t="str">
        <f>IF(Table2[[#This Row],[Sales_Amount]]&gt;10000,"High Value","Normal")</f>
        <v>Normal</v>
      </c>
      <c r="X99" t="str">
        <f t="shared" si="3"/>
        <v>Medium</v>
      </c>
      <c r="Y99" s="25">
        <f t="shared" si="4"/>
        <v>45413</v>
      </c>
      <c r="Z99">
        <f t="shared" si="5"/>
        <v>2024</v>
      </c>
    </row>
    <row r="100" spans="1:26" x14ac:dyDescent="0.3">
      <c r="A100" t="s">
        <v>340</v>
      </c>
      <c r="B100" s="4" t="s">
        <v>332</v>
      </c>
      <c r="C100" t="s">
        <v>104</v>
      </c>
      <c r="D100" t="s">
        <v>105</v>
      </c>
      <c r="E100" t="s">
        <v>67</v>
      </c>
      <c r="F100" t="s">
        <v>44</v>
      </c>
      <c r="G100" t="s">
        <v>216</v>
      </c>
      <c r="H100" t="s">
        <v>316</v>
      </c>
      <c r="I100" t="s">
        <v>26</v>
      </c>
      <c r="J100" t="s">
        <v>91</v>
      </c>
      <c r="K100" t="s">
        <v>199</v>
      </c>
      <c r="L100" s="8">
        <v>2</v>
      </c>
      <c r="M100" s="12">
        <v>3500</v>
      </c>
      <c r="N100" s="10">
        <v>0.15</v>
      </c>
      <c r="O100" s="12">
        <v>5950</v>
      </c>
      <c r="P100" s="12">
        <v>766.4</v>
      </c>
      <c r="Q100" s="12">
        <v>178</v>
      </c>
      <c r="R100" t="s">
        <v>57</v>
      </c>
      <c r="U100" s="12">
        <f>Table2[[#This Row],[Quantity]]*Table2[[#This Row],[Unit_Price]]*(1-Table2[[#This Row],[ Discount]])</f>
        <v>5950</v>
      </c>
      <c r="V100" s="10">
        <f>Table2[[#This Row],[Profit]]/Table2[[#This Row],[Sales_Amount]]</f>
        <v>0.12880672268907561</v>
      </c>
      <c r="W100" t="str">
        <f>IF(Table2[[#This Row],[Sales_Amount]]&gt;10000,"High Value","Normal")</f>
        <v>Normal</v>
      </c>
      <c r="X100" t="str">
        <f t="shared" si="3"/>
        <v>High</v>
      </c>
      <c r="Y100" s="25">
        <f t="shared" si="4"/>
        <v>45413</v>
      </c>
      <c r="Z100">
        <f t="shared" si="5"/>
        <v>2024</v>
      </c>
    </row>
    <row r="101" spans="1:26" x14ac:dyDescent="0.3">
      <c r="A101" t="s">
        <v>341</v>
      </c>
      <c r="B101" s="4" t="s">
        <v>342</v>
      </c>
      <c r="C101" t="s">
        <v>171</v>
      </c>
      <c r="D101" t="s">
        <v>172</v>
      </c>
      <c r="E101" t="s">
        <v>22</v>
      </c>
      <c r="F101" t="s">
        <v>53</v>
      </c>
      <c r="G101" t="s">
        <v>54</v>
      </c>
      <c r="H101" t="s">
        <v>55</v>
      </c>
      <c r="I101" t="s">
        <v>26</v>
      </c>
      <c r="J101" t="s">
        <v>69</v>
      </c>
      <c r="K101" t="s">
        <v>131</v>
      </c>
      <c r="L101" s="8">
        <v>3</v>
      </c>
      <c r="M101" s="12">
        <v>115000</v>
      </c>
      <c r="N101" s="10">
        <v>0.2</v>
      </c>
      <c r="O101" s="12">
        <v>276000</v>
      </c>
      <c r="P101" s="12">
        <v>61846.1</v>
      </c>
      <c r="Q101" s="12">
        <v>129.41</v>
      </c>
      <c r="R101" t="s">
        <v>39</v>
      </c>
      <c r="U101" s="12">
        <f>Table2[[#This Row],[Quantity]]*Table2[[#This Row],[Unit_Price]]*(1-Table2[[#This Row],[ Discount]])</f>
        <v>276000</v>
      </c>
      <c r="V101" s="10">
        <f>Table2[[#This Row],[Profit]]/Table2[[#This Row],[Sales_Amount]]</f>
        <v>0.2240800724637681</v>
      </c>
      <c r="W101" t="str">
        <f>IF(Table2[[#This Row],[Sales_Amount]]&gt;10000,"High Value","Normal")</f>
        <v>High Value</v>
      </c>
      <c r="X101" t="str">
        <f t="shared" si="3"/>
        <v>High</v>
      </c>
      <c r="Y101" s="25">
        <f t="shared" si="4"/>
        <v>45413</v>
      </c>
      <c r="Z101">
        <f t="shared" si="5"/>
        <v>2024</v>
      </c>
    </row>
    <row r="102" spans="1:26" x14ac:dyDescent="0.3">
      <c r="A102" t="s">
        <v>343</v>
      </c>
      <c r="B102" s="4" t="s">
        <v>344</v>
      </c>
      <c r="C102" t="s">
        <v>89</v>
      </c>
      <c r="D102" t="s">
        <v>90</v>
      </c>
      <c r="E102" t="s">
        <v>52</v>
      </c>
      <c r="F102" t="s">
        <v>53</v>
      </c>
      <c r="G102" t="s">
        <v>100</v>
      </c>
      <c r="H102" t="s">
        <v>101</v>
      </c>
      <c r="I102" t="s">
        <v>26</v>
      </c>
      <c r="J102" t="s">
        <v>91</v>
      </c>
      <c r="K102" t="s">
        <v>153</v>
      </c>
      <c r="L102" s="8">
        <v>3</v>
      </c>
      <c r="M102" s="12">
        <v>800</v>
      </c>
      <c r="N102" s="10">
        <v>0.2</v>
      </c>
      <c r="O102" s="12">
        <v>1920</v>
      </c>
      <c r="P102" s="12">
        <v>194.43</v>
      </c>
      <c r="Q102" s="12">
        <v>450.56</v>
      </c>
      <c r="R102" t="s">
        <v>64</v>
      </c>
      <c r="U102" s="12">
        <f>Table2[[#This Row],[Quantity]]*Table2[[#This Row],[Unit_Price]]*(1-Table2[[#This Row],[ Discount]])</f>
        <v>1920</v>
      </c>
      <c r="V102" s="10">
        <f>Table2[[#This Row],[Profit]]/Table2[[#This Row],[Sales_Amount]]</f>
        <v>0.101265625</v>
      </c>
      <c r="W102" t="str">
        <f>IF(Table2[[#This Row],[Sales_Amount]]&gt;10000,"High Value","Normal")</f>
        <v>Normal</v>
      </c>
      <c r="X102" t="str">
        <f t="shared" si="3"/>
        <v>High</v>
      </c>
      <c r="Y102" s="25">
        <f t="shared" si="4"/>
        <v>45413</v>
      </c>
      <c r="Z102">
        <f t="shared" si="5"/>
        <v>2024</v>
      </c>
    </row>
    <row r="103" spans="1:26" x14ac:dyDescent="0.3">
      <c r="A103" t="s">
        <v>345</v>
      </c>
      <c r="B103" s="4" t="s">
        <v>342</v>
      </c>
      <c r="C103" t="s">
        <v>242</v>
      </c>
      <c r="D103" t="s">
        <v>243</v>
      </c>
      <c r="E103" t="s">
        <v>52</v>
      </c>
      <c r="F103" t="s">
        <v>23</v>
      </c>
      <c r="G103" t="s">
        <v>74</v>
      </c>
      <c r="H103" t="s">
        <v>152</v>
      </c>
      <c r="I103" t="s">
        <v>26</v>
      </c>
      <c r="J103" t="s">
        <v>69</v>
      </c>
      <c r="K103" t="s">
        <v>80</v>
      </c>
      <c r="L103" s="8">
        <v>5</v>
      </c>
      <c r="M103" s="12">
        <v>50000</v>
      </c>
      <c r="N103" s="10">
        <v>0</v>
      </c>
      <c r="O103" s="12">
        <v>250000</v>
      </c>
      <c r="P103" s="12">
        <v>43660.160000000003</v>
      </c>
      <c r="Q103" s="12">
        <v>438.57</v>
      </c>
      <c r="R103" t="s">
        <v>64</v>
      </c>
      <c r="U103" s="12">
        <f>Table2[[#This Row],[Quantity]]*Table2[[#This Row],[Unit_Price]]*(1-Table2[[#This Row],[ Discount]])</f>
        <v>250000</v>
      </c>
      <c r="V103" s="10">
        <f>Table2[[#This Row],[Profit]]/Table2[[#This Row],[Sales_Amount]]</f>
        <v>0.17464064000000001</v>
      </c>
      <c r="W103" t="str">
        <f>IF(Table2[[#This Row],[Sales_Amount]]&gt;10000,"High Value","Normal")</f>
        <v>High Value</v>
      </c>
      <c r="X103" t="str">
        <f t="shared" si="3"/>
        <v>No Discount</v>
      </c>
      <c r="Y103" s="25">
        <f t="shared" si="4"/>
        <v>45413</v>
      </c>
      <c r="Z103">
        <f t="shared" si="5"/>
        <v>2024</v>
      </c>
    </row>
    <row r="104" spans="1:26" x14ac:dyDescent="0.3">
      <c r="A104" t="s">
        <v>346</v>
      </c>
      <c r="B104" s="4" t="s">
        <v>347</v>
      </c>
      <c r="C104" t="s">
        <v>32</v>
      </c>
      <c r="D104" t="s">
        <v>33</v>
      </c>
      <c r="E104" t="s">
        <v>22</v>
      </c>
      <c r="F104" t="s">
        <v>106</v>
      </c>
      <c r="G104" t="s">
        <v>107</v>
      </c>
      <c r="H104" t="s">
        <v>139</v>
      </c>
      <c r="I104" t="s">
        <v>47</v>
      </c>
      <c r="J104" t="s">
        <v>48</v>
      </c>
      <c r="K104" t="s">
        <v>196</v>
      </c>
      <c r="L104" s="8">
        <v>2</v>
      </c>
      <c r="M104" s="12">
        <v>2500</v>
      </c>
      <c r="N104" s="10">
        <v>0.05</v>
      </c>
      <c r="O104" s="12">
        <v>4750</v>
      </c>
      <c r="P104" s="12">
        <v>820.95</v>
      </c>
      <c r="Q104" s="12">
        <v>163.68</v>
      </c>
      <c r="R104" t="s">
        <v>64</v>
      </c>
      <c r="U104" s="12">
        <f>Table2[[#This Row],[Quantity]]*Table2[[#This Row],[Unit_Price]]*(1-Table2[[#This Row],[ Discount]])</f>
        <v>4750</v>
      </c>
      <c r="V104" s="10">
        <f>Table2[[#This Row],[Profit]]/Table2[[#This Row],[Sales_Amount]]</f>
        <v>0.17283157894736842</v>
      </c>
      <c r="W104" t="str">
        <f>IF(Table2[[#This Row],[Sales_Amount]]&gt;10000,"High Value","Normal")</f>
        <v>Normal</v>
      </c>
      <c r="X104" t="str">
        <f t="shared" si="3"/>
        <v>Low</v>
      </c>
      <c r="Y104" s="25">
        <f t="shared" si="4"/>
        <v>45413</v>
      </c>
      <c r="Z104">
        <f t="shared" si="5"/>
        <v>2024</v>
      </c>
    </row>
    <row r="105" spans="1:26" x14ac:dyDescent="0.3">
      <c r="A105" t="s">
        <v>348</v>
      </c>
      <c r="B105" s="4" t="s">
        <v>349</v>
      </c>
      <c r="C105" t="s">
        <v>89</v>
      </c>
      <c r="D105" t="s">
        <v>90</v>
      </c>
      <c r="E105" t="s">
        <v>67</v>
      </c>
      <c r="F105" t="s">
        <v>44</v>
      </c>
      <c r="G105" t="s">
        <v>216</v>
      </c>
      <c r="H105" t="s">
        <v>316</v>
      </c>
      <c r="I105" t="s">
        <v>26</v>
      </c>
      <c r="J105" t="s">
        <v>27</v>
      </c>
      <c r="K105" t="s">
        <v>187</v>
      </c>
      <c r="L105" s="8">
        <v>5</v>
      </c>
      <c r="M105" s="12">
        <v>18000</v>
      </c>
      <c r="N105" s="10">
        <v>0.15</v>
      </c>
      <c r="O105" s="12">
        <v>76500</v>
      </c>
      <c r="P105" s="12">
        <v>14291.83</v>
      </c>
      <c r="Q105" s="12">
        <v>249.01</v>
      </c>
      <c r="R105" t="s">
        <v>29</v>
      </c>
      <c r="U105" s="12">
        <f>Table2[[#This Row],[Quantity]]*Table2[[#This Row],[Unit_Price]]*(1-Table2[[#This Row],[ Discount]])</f>
        <v>76500</v>
      </c>
      <c r="V105" s="10">
        <f>Table2[[#This Row],[Profit]]/Table2[[#This Row],[Sales_Amount]]</f>
        <v>0.18682130718954248</v>
      </c>
      <c r="W105" t="str">
        <f>IF(Table2[[#This Row],[Sales_Amount]]&gt;10000,"High Value","Normal")</f>
        <v>High Value</v>
      </c>
      <c r="X105" t="str">
        <f t="shared" si="3"/>
        <v>High</v>
      </c>
      <c r="Y105" s="25">
        <f t="shared" si="4"/>
        <v>45413</v>
      </c>
      <c r="Z105">
        <f t="shared" si="5"/>
        <v>2024</v>
      </c>
    </row>
    <row r="106" spans="1:26" x14ac:dyDescent="0.3">
      <c r="A106" t="s">
        <v>350</v>
      </c>
      <c r="B106" s="4" t="s">
        <v>336</v>
      </c>
      <c r="C106" t="s">
        <v>143</v>
      </c>
      <c r="D106" t="s">
        <v>144</v>
      </c>
      <c r="E106" t="s">
        <v>22</v>
      </c>
      <c r="F106" t="s">
        <v>23</v>
      </c>
      <c r="G106" t="s">
        <v>24</v>
      </c>
      <c r="H106" t="s">
        <v>351</v>
      </c>
      <c r="I106" t="s">
        <v>36</v>
      </c>
      <c r="J106" t="s">
        <v>113</v>
      </c>
      <c r="K106" t="s">
        <v>262</v>
      </c>
      <c r="L106" s="8">
        <v>4</v>
      </c>
      <c r="M106" s="12">
        <v>2500</v>
      </c>
      <c r="N106" s="10">
        <v>0</v>
      </c>
      <c r="O106" s="12">
        <v>10000</v>
      </c>
      <c r="P106" s="12">
        <v>1175.0899999999999</v>
      </c>
      <c r="Q106" s="12">
        <v>84.06</v>
      </c>
      <c r="R106" t="s">
        <v>29</v>
      </c>
      <c r="U106" s="12">
        <f>Table2[[#This Row],[Quantity]]*Table2[[#This Row],[Unit_Price]]*(1-Table2[[#This Row],[ Discount]])</f>
        <v>10000</v>
      </c>
      <c r="V106" s="10">
        <f>Table2[[#This Row],[Profit]]/Table2[[#This Row],[Sales_Amount]]</f>
        <v>0.11750899999999999</v>
      </c>
      <c r="W106" t="str">
        <f>IF(Table2[[#This Row],[Sales_Amount]]&gt;10000,"High Value","Normal")</f>
        <v>Normal</v>
      </c>
      <c r="X106" t="str">
        <f t="shared" si="3"/>
        <v>No Discount</v>
      </c>
      <c r="Y106" s="25">
        <f t="shared" si="4"/>
        <v>45413</v>
      </c>
      <c r="Z106">
        <f t="shared" si="5"/>
        <v>2024</v>
      </c>
    </row>
    <row r="107" spans="1:26" x14ac:dyDescent="0.3">
      <c r="A107" t="s">
        <v>352</v>
      </c>
      <c r="B107" s="4" t="s">
        <v>353</v>
      </c>
      <c r="C107" t="s">
        <v>72</v>
      </c>
      <c r="D107" t="s">
        <v>73</v>
      </c>
      <c r="E107" t="s">
        <v>22</v>
      </c>
      <c r="F107" t="s">
        <v>23</v>
      </c>
      <c r="G107" t="s">
        <v>34</v>
      </c>
      <c r="H107" t="s">
        <v>35</v>
      </c>
      <c r="I107" t="s">
        <v>36</v>
      </c>
      <c r="J107" t="s">
        <v>113</v>
      </c>
      <c r="K107" t="s">
        <v>246</v>
      </c>
      <c r="L107" s="8">
        <v>1</v>
      </c>
      <c r="M107" s="12">
        <v>1200</v>
      </c>
      <c r="N107" s="10">
        <v>0.1</v>
      </c>
      <c r="O107" s="12">
        <v>1080</v>
      </c>
      <c r="P107" s="12">
        <v>252.23</v>
      </c>
      <c r="Q107" s="12">
        <v>334.92</v>
      </c>
      <c r="R107" t="s">
        <v>39</v>
      </c>
      <c r="U107" s="12">
        <f>Table2[[#This Row],[Quantity]]*Table2[[#This Row],[Unit_Price]]*(1-Table2[[#This Row],[ Discount]])</f>
        <v>1080</v>
      </c>
      <c r="V107" s="10">
        <f>Table2[[#This Row],[Profit]]/Table2[[#This Row],[Sales_Amount]]</f>
        <v>0.23354629629629628</v>
      </c>
      <c r="W107" t="str">
        <f>IF(Table2[[#This Row],[Sales_Amount]]&gt;10000,"High Value","Normal")</f>
        <v>Normal</v>
      </c>
      <c r="X107" t="str">
        <f t="shared" si="3"/>
        <v>Medium</v>
      </c>
      <c r="Y107" s="25">
        <f t="shared" si="4"/>
        <v>45413</v>
      </c>
      <c r="Z107">
        <f t="shared" si="5"/>
        <v>2024</v>
      </c>
    </row>
    <row r="108" spans="1:26" x14ac:dyDescent="0.3">
      <c r="A108" t="s">
        <v>354</v>
      </c>
      <c r="B108" s="4" t="s">
        <v>355</v>
      </c>
      <c r="C108" t="s">
        <v>20</v>
      </c>
      <c r="D108" t="s">
        <v>21</v>
      </c>
      <c r="E108" t="s">
        <v>67</v>
      </c>
      <c r="F108" t="s">
        <v>53</v>
      </c>
      <c r="G108" t="s">
        <v>100</v>
      </c>
      <c r="H108" t="s">
        <v>101</v>
      </c>
      <c r="I108" t="s">
        <v>26</v>
      </c>
      <c r="J108" t="s">
        <v>69</v>
      </c>
      <c r="K108" t="s">
        <v>136</v>
      </c>
      <c r="L108" s="8">
        <v>3</v>
      </c>
      <c r="M108" s="12">
        <v>42000</v>
      </c>
      <c r="N108" s="10">
        <v>0</v>
      </c>
      <c r="O108" s="12">
        <v>126000</v>
      </c>
      <c r="P108" s="12">
        <v>16873.07</v>
      </c>
      <c r="Q108" s="12">
        <v>104.95</v>
      </c>
      <c r="R108" t="s">
        <v>29</v>
      </c>
      <c r="U108" s="12">
        <f>Table2[[#This Row],[Quantity]]*Table2[[#This Row],[Unit_Price]]*(1-Table2[[#This Row],[ Discount]])</f>
        <v>126000</v>
      </c>
      <c r="V108" s="10">
        <f>Table2[[#This Row],[Profit]]/Table2[[#This Row],[Sales_Amount]]</f>
        <v>0.13391325396825396</v>
      </c>
      <c r="W108" t="str">
        <f>IF(Table2[[#This Row],[Sales_Amount]]&gt;10000,"High Value","Normal")</f>
        <v>High Value</v>
      </c>
      <c r="X108" t="str">
        <f t="shared" si="3"/>
        <v>No Discount</v>
      </c>
      <c r="Y108" s="25">
        <f t="shared" si="4"/>
        <v>45413</v>
      </c>
      <c r="Z108">
        <f t="shared" si="5"/>
        <v>2024</v>
      </c>
    </row>
    <row r="109" spans="1:26" x14ac:dyDescent="0.3">
      <c r="A109" t="s">
        <v>356</v>
      </c>
      <c r="B109" s="4" t="s">
        <v>357</v>
      </c>
      <c r="C109" t="s">
        <v>117</v>
      </c>
      <c r="D109" t="s">
        <v>118</v>
      </c>
      <c r="E109" t="s">
        <v>67</v>
      </c>
      <c r="F109" t="s">
        <v>53</v>
      </c>
      <c r="G109" t="s">
        <v>100</v>
      </c>
      <c r="H109" t="s">
        <v>101</v>
      </c>
      <c r="I109" t="s">
        <v>26</v>
      </c>
      <c r="J109" t="s">
        <v>27</v>
      </c>
      <c r="K109" t="s">
        <v>358</v>
      </c>
      <c r="L109" s="8">
        <v>5</v>
      </c>
      <c r="M109" s="12">
        <v>22000</v>
      </c>
      <c r="N109" s="10">
        <v>0</v>
      </c>
      <c r="O109" s="12">
        <v>110000</v>
      </c>
      <c r="P109" s="12">
        <v>20304.689999999999</v>
      </c>
      <c r="Q109" s="12">
        <v>458.19</v>
      </c>
      <c r="R109" t="s">
        <v>64</v>
      </c>
      <c r="U109" s="12">
        <f>Table2[[#This Row],[Quantity]]*Table2[[#This Row],[Unit_Price]]*(1-Table2[[#This Row],[ Discount]])</f>
        <v>110000</v>
      </c>
      <c r="V109" s="10">
        <f>Table2[[#This Row],[Profit]]/Table2[[#This Row],[Sales_Amount]]</f>
        <v>0.1845880909090909</v>
      </c>
      <c r="W109" t="str">
        <f>IF(Table2[[#This Row],[Sales_Amount]]&gt;10000,"High Value","Normal")</f>
        <v>High Value</v>
      </c>
      <c r="X109" t="str">
        <f t="shared" si="3"/>
        <v>No Discount</v>
      </c>
      <c r="Y109" s="25">
        <f t="shared" si="4"/>
        <v>45413</v>
      </c>
      <c r="Z109">
        <f t="shared" si="5"/>
        <v>2024</v>
      </c>
    </row>
    <row r="110" spans="1:26" x14ac:dyDescent="0.3">
      <c r="A110" t="s">
        <v>359</v>
      </c>
      <c r="B110" s="4" t="s">
        <v>360</v>
      </c>
      <c r="C110" t="s">
        <v>94</v>
      </c>
      <c r="D110" t="s">
        <v>95</v>
      </c>
      <c r="E110" t="s">
        <v>67</v>
      </c>
      <c r="F110" t="s">
        <v>44</v>
      </c>
      <c r="G110" t="s">
        <v>216</v>
      </c>
      <c r="H110" t="s">
        <v>266</v>
      </c>
      <c r="I110" t="s">
        <v>47</v>
      </c>
      <c r="J110" t="s">
        <v>48</v>
      </c>
      <c r="K110" t="s">
        <v>196</v>
      </c>
      <c r="L110" s="8">
        <v>3</v>
      </c>
      <c r="M110" s="12">
        <v>2500</v>
      </c>
      <c r="N110" s="10">
        <v>0.15</v>
      </c>
      <c r="O110" s="12">
        <v>6375</v>
      </c>
      <c r="P110" s="12">
        <v>990.21</v>
      </c>
      <c r="Q110" s="12">
        <v>66.42</v>
      </c>
      <c r="R110" t="s">
        <v>64</v>
      </c>
      <c r="U110" s="12">
        <f>Table2[[#This Row],[Quantity]]*Table2[[#This Row],[Unit_Price]]*(1-Table2[[#This Row],[ Discount]])</f>
        <v>6375</v>
      </c>
      <c r="V110" s="10">
        <f>Table2[[#This Row],[Profit]]/Table2[[#This Row],[Sales_Amount]]</f>
        <v>0.15532705882352943</v>
      </c>
      <c r="W110" t="str">
        <f>IF(Table2[[#This Row],[Sales_Amount]]&gt;10000,"High Value","Normal")</f>
        <v>Normal</v>
      </c>
      <c r="X110" t="str">
        <f t="shared" si="3"/>
        <v>High</v>
      </c>
      <c r="Y110" s="25">
        <f t="shared" si="4"/>
        <v>45413</v>
      </c>
      <c r="Z110">
        <f t="shared" si="5"/>
        <v>2024</v>
      </c>
    </row>
    <row r="111" spans="1:26" x14ac:dyDescent="0.3">
      <c r="A111" t="s">
        <v>361</v>
      </c>
      <c r="B111" s="4" t="s">
        <v>347</v>
      </c>
      <c r="C111" t="s">
        <v>242</v>
      </c>
      <c r="D111" t="s">
        <v>243</v>
      </c>
      <c r="E111" t="s">
        <v>22</v>
      </c>
      <c r="F111" t="s">
        <v>53</v>
      </c>
      <c r="G111" t="s">
        <v>54</v>
      </c>
      <c r="H111" t="s">
        <v>112</v>
      </c>
      <c r="I111" t="s">
        <v>36</v>
      </c>
      <c r="J111" t="s">
        <v>37</v>
      </c>
      <c r="K111" t="s">
        <v>280</v>
      </c>
      <c r="L111" s="8">
        <v>5</v>
      </c>
      <c r="M111" s="12">
        <v>25000</v>
      </c>
      <c r="N111" s="10">
        <v>0</v>
      </c>
      <c r="O111" s="12">
        <v>125000</v>
      </c>
      <c r="P111" s="12">
        <v>15415.49</v>
      </c>
      <c r="Q111" s="12">
        <v>372.01</v>
      </c>
      <c r="R111" t="s">
        <v>29</v>
      </c>
      <c r="U111" s="12">
        <f>Table2[[#This Row],[Quantity]]*Table2[[#This Row],[Unit_Price]]*(1-Table2[[#This Row],[ Discount]])</f>
        <v>125000</v>
      </c>
      <c r="V111" s="10">
        <f>Table2[[#This Row],[Profit]]/Table2[[#This Row],[Sales_Amount]]</f>
        <v>0.12332392</v>
      </c>
      <c r="W111" t="str">
        <f>IF(Table2[[#This Row],[Sales_Amount]]&gt;10000,"High Value","Normal")</f>
        <v>High Value</v>
      </c>
      <c r="X111" t="str">
        <f t="shared" si="3"/>
        <v>No Discount</v>
      </c>
      <c r="Y111" s="25">
        <f t="shared" si="4"/>
        <v>45413</v>
      </c>
      <c r="Z111">
        <f t="shared" si="5"/>
        <v>2024</v>
      </c>
    </row>
    <row r="112" spans="1:26" x14ac:dyDescent="0.3">
      <c r="A112" t="s">
        <v>362</v>
      </c>
      <c r="B112" s="4" t="s">
        <v>363</v>
      </c>
      <c r="C112" t="s">
        <v>60</v>
      </c>
      <c r="D112" t="s">
        <v>61</v>
      </c>
      <c r="E112" t="s">
        <v>67</v>
      </c>
      <c r="F112" t="s">
        <v>44</v>
      </c>
      <c r="G112" t="s">
        <v>45</v>
      </c>
      <c r="H112" t="s">
        <v>198</v>
      </c>
      <c r="I112" t="s">
        <v>26</v>
      </c>
      <c r="J112" t="s">
        <v>91</v>
      </c>
      <c r="K112" t="s">
        <v>109</v>
      </c>
      <c r="L112" s="8">
        <v>4</v>
      </c>
      <c r="M112" s="12">
        <v>8000</v>
      </c>
      <c r="N112" s="10">
        <v>0</v>
      </c>
      <c r="O112" s="12">
        <v>32000</v>
      </c>
      <c r="P112" s="12">
        <v>7774.95</v>
      </c>
      <c r="Q112" s="12">
        <v>164.3</v>
      </c>
      <c r="R112" t="s">
        <v>57</v>
      </c>
      <c r="U112" s="12">
        <f>Table2[[#This Row],[Quantity]]*Table2[[#This Row],[Unit_Price]]*(1-Table2[[#This Row],[ Discount]])</f>
        <v>32000</v>
      </c>
      <c r="V112" s="10">
        <f>Table2[[#This Row],[Profit]]/Table2[[#This Row],[Sales_Amount]]</f>
        <v>0.24296718749999999</v>
      </c>
      <c r="W112" t="str">
        <f>IF(Table2[[#This Row],[Sales_Amount]]&gt;10000,"High Value","Normal")</f>
        <v>High Value</v>
      </c>
      <c r="X112" t="str">
        <f t="shared" si="3"/>
        <v>No Discount</v>
      </c>
      <c r="Y112" s="25">
        <f t="shared" si="4"/>
        <v>45413</v>
      </c>
      <c r="Z112">
        <f t="shared" si="5"/>
        <v>2024</v>
      </c>
    </row>
    <row r="113" spans="1:26" x14ac:dyDescent="0.3">
      <c r="A113" t="s">
        <v>364</v>
      </c>
      <c r="B113" s="4" t="s">
        <v>365</v>
      </c>
      <c r="C113" t="s">
        <v>72</v>
      </c>
      <c r="D113" t="s">
        <v>73</v>
      </c>
      <c r="E113" t="s">
        <v>52</v>
      </c>
      <c r="F113" t="s">
        <v>106</v>
      </c>
      <c r="G113" t="s">
        <v>306</v>
      </c>
      <c r="H113" t="s">
        <v>366</v>
      </c>
      <c r="I113" t="s">
        <v>47</v>
      </c>
      <c r="J113" t="s">
        <v>48</v>
      </c>
      <c r="K113" t="s">
        <v>63</v>
      </c>
      <c r="L113" s="8">
        <v>4</v>
      </c>
      <c r="M113" s="12">
        <v>2800</v>
      </c>
      <c r="N113" s="10">
        <v>0.1</v>
      </c>
      <c r="O113" s="12">
        <v>10080</v>
      </c>
      <c r="P113" s="12">
        <v>2539.7399999999998</v>
      </c>
      <c r="Q113" s="12">
        <v>189.73</v>
      </c>
      <c r="R113" t="s">
        <v>29</v>
      </c>
      <c r="U113" s="12">
        <f>Table2[[#This Row],[Quantity]]*Table2[[#This Row],[Unit_Price]]*(1-Table2[[#This Row],[ Discount]])</f>
        <v>10080</v>
      </c>
      <c r="V113" s="10">
        <f>Table2[[#This Row],[Profit]]/Table2[[#This Row],[Sales_Amount]]</f>
        <v>0.25195833333333328</v>
      </c>
      <c r="W113" t="str">
        <f>IF(Table2[[#This Row],[Sales_Amount]]&gt;10000,"High Value","Normal")</f>
        <v>High Value</v>
      </c>
      <c r="X113" t="str">
        <f t="shared" si="3"/>
        <v>Medium</v>
      </c>
      <c r="Y113" s="25">
        <f t="shared" si="4"/>
        <v>45413</v>
      </c>
      <c r="Z113">
        <f t="shared" si="5"/>
        <v>2024</v>
      </c>
    </row>
    <row r="114" spans="1:26" x14ac:dyDescent="0.3">
      <c r="A114" t="s">
        <v>367</v>
      </c>
      <c r="B114" s="4" t="s">
        <v>365</v>
      </c>
      <c r="C114" t="s">
        <v>122</v>
      </c>
      <c r="D114" t="s">
        <v>123</v>
      </c>
      <c r="E114" t="s">
        <v>52</v>
      </c>
      <c r="F114" t="s">
        <v>106</v>
      </c>
      <c r="G114" t="s">
        <v>149</v>
      </c>
      <c r="H114" t="s">
        <v>150</v>
      </c>
      <c r="I114" t="s">
        <v>26</v>
      </c>
      <c r="J114" t="s">
        <v>69</v>
      </c>
      <c r="K114" t="s">
        <v>145</v>
      </c>
      <c r="L114" s="8">
        <v>1</v>
      </c>
      <c r="M114" s="12">
        <v>55000</v>
      </c>
      <c r="N114" s="10">
        <v>0.2</v>
      </c>
      <c r="O114" s="12">
        <v>44000</v>
      </c>
      <c r="P114" s="12">
        <v>9584.7900000000009</v>
      </c>
      <c r="Q114" s="12">
        <v>244.29</v>
      </c>
      <c r="R114" t="s">
        <v>39</v>
      </c>
      <c r="U114" s="12">
        <f>Table2[[#This Row],[Quantity]]*Table2[[#This Row],[Unit_Price]]*(1-Table2[[#This Row],[ Discount]])</f>
        <v>44000</v>
      </c>
      <c r="V114" s="10">
        <f>Table2[[#This Row],[Profit]]/Table2[[#This Row],[Sales_Amount]]</f>
        <v>0.21783613636363638</v>
      </c>
      <c r="W114" t="str">
        <f>IF(Table2[[#This Row],[Sales_Amount]]&gt;10000,"High Value","Normal")</f>
        <v>High Value</v>
      </c>
      <c r="X114" t="str">
        <f t="shared" si="3"/>
        <v>High</v>
      </c>
      <c r="Y114" s="25">
        <f t="shared" si="4"/>
        <v>45413</v>
      </c>
      <c r="Z114">
        <f t="shared" si="5"/>
        <v>2024</v>
      </c>
    </row>
    <row r="115" spans="1:26" x14ac:dyDescent="0.3">
      <c r="A115" t="s">
        <v>368</v>
      </c>
      <c r="B115" s="4" t="s">
        <v>363</v>
      </c>
      <c r="C115" t="s">
        <v>42</v>
      </c>
      <c r="D115" t="s">
        <v>43</v>
      </c>
      <c r="E115" t="s">
        <v>67</v>
      </c>
      <c r="F115" t="s">
        <v>53</v>
      </c>
      <c r="G115" t="s">
        <v>100</v>
      </c>
      <c r="H115" t="s">
        <v>213</v>
      </c>
      <c r="I115" t="s">
        <v>26</v>
      </c>
      <c r="J115" t="s">
        <v>91</v>
      </c>
      <c r="K115" t="s">
        <v>199</v>
      </c>
      <c r="L115" s="8">
        <v>3</v>
      </c>
      <c r="M115" s="12">
        <v>3500</v>
      </c>
      <c r="N115" s="10">
        <v>0.1</v>
      </c>
      <c r="O115" s="12">
        <v>9450</v>
      </c>
      <c r="P115" s="12">
        <v>2098.79</v>
      </c>
      <c r="Q115" s="12">
        <v>327.61</v>
      </c>
      <c r="R115" t="s">
        <v>57</v>
      </c>
      <c r="U115" s="12">
        <f>Table2[[#This Row],[Quantity]]*Table2[[#This Row],[Unit_Price]]*(1-Table2[[#This Row],[ Discount]])</f>
        <v>9450</v>
      </c>
      <c r="V115" s="10">
        <f>Table2[[#This Row],[Profit]]/Table2[[#This Row],[Sales_Amount]]</f>
        <v>0.2220941798941799</v>
      </c>
      <c r="W115" t="str">
        <f>IF(Table2[[#This Row],[Sales_Amount]]&gt;10000,"High Value","Normal")</f>
        <v>Normal</v>
      </c>
      <c r="X115" t="str">
        <f t="shared" si="3"/>
        <v>Medium</v>
      </c>
      <c r="Y115" s="25">
        <f t="shared" si="4"/>
        <v>45413</v>
      </c>
      <c r="Z115">
        <f t="shared" si="5"/>
        <v>2024</v>
      </c>
    </row>
    <row r="116" spans="1:26" x14ac:dyDescent="0.3">
      <c r="A116" t="s">
        <v>369</v>
      </c>
      <c r="B116" s="4" t="s">
        <v>355</v>
      </c>
      <c r="C116" t="s">
        <v>60</v>
      </c>
      <c r="D116" t="s">
        <v>61</v>
      </c>
      <c r="E116" t="s">
        <v>52</v>
      </c>
      <c r="F116" t="s">
        <v>106</v>
      </c>
      <c r="G116" t="s">
        <v>306</v>
      </c>
      <c r="H116" t="s">
        <v>307</v>
      </c>
      <c r="I116" t="s">
        <v>47</v>
      </c>
      <c r="J116" t="s">
        <v>119</v>
      </c>
      <c r="K116" t="s">
        <v>310</v>
      </c>
      <c r="L116" s="8">
        <v>3</v>
      </c>
      <c r="M116" s="12">
        <v>1500</v>
      </c>
      <c r="N116" s="10">
        <v>0</v>
      </c>
      <c r="O116" s="12">
        <v>4500</v>
      </c>
      <c r="P116" s="12">
        <v>1013.45</v>
      </c>
      <c r="Q116" s="12">
        <v>160.15</v>
      </c>
      <c r="R116" t="s">
        <v>39</v>
      </c>
      <c r="U116" s="12">
        <f>Table2[[#This Row],[Quantity]]*Table2[[#This Row],[Unit_Price]]*(1-Table2[[#This Row],[ Discount]])</f>
        <v>4500</v>
      </c>
      <c r="V116" s="10">
        <f>Table2[[#This Row],[Profit]]/Table2[[#This Row],[Sales_Amount]]</f>
        <v>0.22521111111111111</v>
      </c>
      <c r="W116" t="str">
        <f>IF(Table2[[#This Row],[Sales_Amount]]&gt;10000,"High Value","Normal")</f>
        <v>Normal</v>
      </c>
      <c r="X116" t="str">
        <f t="shared" si="3"/>
        <v>No Discount</v>
      </c>
      <c r="Y116" s="25">
        <f t="shared" si="4"/>
        <v>45413</v>
      </c>
      <c r="Z116">
        <f t="shared" si="5"/>
        <v>2024</v>
      </c>
    </row>
    <row r="117" spans="1:26" x14ac:dyDescent="0.3">
      <c r="A117" t="s">
        <v>370</v>
      </c>
      <c r="B117" s="4" t="s">
        <v>357</v>
      </c>
      <c r="C117" t="s">
        <v>60</v>
      </c>
      <c r="D117" t="s">
        <v>61</v>
      </c>
      <c r="E117" t="s">
        <v>22</v>
      </c>
      <c r="F117" t="s">
        <v>44</v>
      </c>
      <c r="G117" t="s">
        <v>216</v>
      </c>
      <c r="H117" t="s">
        <v>217</v>
      </c>
      <c r="I117" t="s">
        <v>36</v>
      </c>
      <c r="J117" t="s">
        <v>37</v>
      </c>
      <c r="K117" t="s">
        <v>371</v>
      </c>
      <c r="L117" s="8">
        <v>5</v>
      </c>
      <c r="M117" s="12">
        <v>4500</v>
      </c>
      <c r="N117" s="10">
        <v>0</v>
      </c>
      <c r="O117" s="12">
        <v>22500</v>
      </c>
      <c r="P117" s="12">
        <v>5865.44</v>
      </c>
      <c r="Q117" s="12">
        <v>258.08</v>
      </c>
      <c r="R117" t="s">
        <v>57</v>
      </c>
      <c r="U117" s="12">
        <f>Table2[[#This Row],[Quantity]]*Table2[[#This Row],[Unit_Price]]*(1-Table2[[#This Row],[ Discount]])</f>
        <v>22500</v>
      </c>
      <c r="V117" s="10">
        <f>Table2[[#This Row],[Profit]]/Table2[[#This Row],[Sales_Amount]]</f>
        <v>0.26068622222222221</v>
      </c>
      <c r="W117" t="str">
        <f>IF(Table2[[#This Row],[Sales_Amount]]&gt;10000,"High Value","Normal")</f>
        <v>High Value</v>
      </c>
      <c r="X117" t="str">
        <f t="shared" si="3"/>
        <v>No Discount</v>
      </c>
      <c r="Y117" s="25">
        <f t="shared" si="4"/>
        <v>45413</v>
      </c>
      <c r="Z117">
        <f t="shared" si="5"/>
        <v>2024</v>
      </c>
    </row>
    <row r="118" spans="1:26" x14ac:dyDescent="0.3">
      <c r="A118" t="s">
        <v>372</v>
      </c>
      <c r="B118" s="4" t="s">
        <v>373</v>
      </c>
      <c r="C118" t="s">
        <v>104</v>
      </c>
      <c r="D118" t="s">
        <v>105</v>
      </c>
      <c r="E118" t="s">
        <v>22</v>
      </c>
      <c r="F118" t="s">
        <v>44</v>
      </c>
      <c r="G118" t="s">
        <v>45</v>
      </c>
      <c r="H118" t="s">
        <v>46</v>
      </c>
      <c r="I118" t="s">
        <v>47</v>
      </c>
      <c r="J118" t="s">
        <v>48</v>
      </c>
      <c r="K118" t="s">
        <v>196</v>
      </c>
      <c r="L118" s="8">
        <v>5</v>
      </c>
      <c r="M118" s="12">
        <v>2500</v>
      </c>
      <c r="N118" s="10">
        <v>0.2</v>
      </c>
      <c r="O118" s="12">
        <v>10000</v>
      </c>
      <c r="P118" s="12">
        <v>1781.33</v>
      </c>
      <c r="Q118" s="12">
        <v>134.13999999999999</v>
      </c>
      <c r="R118" t="s">
        <v>64</v>
      </c>
      <c r="U118" s="12">
        <f>Table2[[#This Row],[Quantity]]*Table2[[#This Row],[Unit_Price]]*(1-Table2[[#This Row],[ Discount]])</f>
        <v>10000</v>
      </c>
      <c r="V118" s="10">
        <f>Table2[[#This Row],[Profit]]/Table2[[#This Row],[Sales_Amount]]</f>
        <v>0.17813299999999999</v>
      </c>
      <c r="W118" t="str">
        <f>IF(Table2[[#This Row],[Sales_Amount]]&gt;10000,"High Value","Normal")</f>
        <v>Normal</v>
      </c>
      <c r="X118" t="str">
        <f t="shared" si="3"/>
        <v>High</v>
      </c>
      <c r="Y118" s="25">
        <f t="shared" si="4"/>
        <v>45444</v>
      </c>
      <c r="Z118">
        <f t="shared" si="5"/>
        <v>2024</v>
      </c>
    </row>
    <row r="119" spans="1:26" x14ac:dyDescent="0.3">
      <c r="A119" t="s">
        <v>374</v>
      </c>
      <c r="B119" s="4" t="s">
        <v>375</v>
      </c>
      <c r="C119" t="s">
        <v>242</v>
      </c>
      <c r="D119" t="s">
        <v>243</v>
      </c>
      <c r="E119" t="s">
        <v>22</v>
      </c>
      <c r="F119" t="s">
        <v>44</v>
      </c>
      <c r="G119" t="s">
        <v>216</v>
      </c>
      <c r="H119" t="s">
        <v>266</v>
      </c>
      <c r="I119" t="s">
        <v>26</v>
      </c>
      <c r="J119" t="s">
        <v>91</v>
      </c>
      <c r="K119" t="s">
        <v>199</v>
      </c>
      <c r="L119" s="8">
        <v>1</v>
      </c>
      <c r="M119" s="12">
        <v>3500</v>
      </c>
      <c r="N119" s="10">
        <v>0</v>
      </c>
      <c r="O119" s="12">
        <v>3500</v>
      </c>
      <c r="P119" s="12">
        <v>521.07000000000005</v>
      </c>
      <c r="Q119" s="12">
        <v>251.42</v>
      </c>
      <c r="R119" t="s">
        <v>57</v>
      </c>
      <c r="U119" s="12">
        <f>Table2[[#This Row],[Quantity]]*Table2[[#This Row],[Unit_Price]]*(1-Table2[[#This Row],[ Discount]])</f>
        <v>3500</v>
      </c>
      <c r="V119" s="10">
        <f>Table2[[#This Row],[Profit]]/Table2[[#This Row],[Sales_Amount]]</f>
        <v>0.14887714285714287</v>
      </c>
      <c r="W119" t="str">
        <f>IF(Table2[[#This Row],[Sales_Amount]]&gt;10000,"High Value","Normal")</f>
        <v>Normal</v>
      </c>
      <c r="X119" t="str">
        <f t="shared" si="3"/>
        <v>No Discount</v>
      </c>
      <c r="Y119" s="25">
        <f t="shared" si="4"/>
        <v>45444</v>
      </c>
      <c r="Z119">
        <f t="shared" si="5"/>
        <v>2024</v>
      </c>
    </row>
    <row r="120" spans="1:26" x14ac:dyDescent="0.3">
      <c r="A120" t="s">
        <v>376</v>
      </c>
      <c r="B120" s="4" t="s">
        <v>377</v>
      </c>
      <c r="C120" t="s">
        <v>134</v>
      </c>
      <c r="D120" t="s">
        <v>135</v>
      </c>
      <c r="E120" t="s">
        <v>22</v>
      </c>
      <c r="F120" t="s">
        <v>53</v>
      </c>
      <c r="G120" t="s">
        <v>100</v>
      </c>
      <c r="H120" t="s">
        <v>213</v>
      </c>
      <c r="I120" t="s">
        <v>26</v>
      </c>
      <c r="J120" t="s">
        <v>27</v>
      </c>
      <c r="K120" t="s">
        <v>187</v>
      </c>
      <c r="L120" s="8">
        <v>5</v>
      </c>
      <c r="M120" s="12">
        <v>18000</v>
      </c>
      <c r="N120" s="10">
        <v>0</v>
      </c>
      <c r="O120" s="12">
        <v>90000</v>
      </c>
      <c r="P120" s="12">
        <v>12755</v>
      </c>
      <c r="Q120" s="12">
        <v>404.75</v>
      </c>
      <c r="R120" t="s">
        <v>39</v>
      </c>
      <c r="U120" s="12">
        <f>Table2[[#This Row],[Quantity]]*Table2[[#This Row],[Unit_Price]]*(1-Table2[[#This Row],[ Discount]])</f>
        <v>90000</v>
      </c>
      <c r="V120" s="10">
        <f>Table2[[#This Row],[Profit]]/Table2[[#This Row],[Sales_Amount]]</f>
        <v>0.14172222222222222</v>
      </c>
      <c r="W120" t="str">
        <f>IF(Table2[[#This Row],[Sales_Amount]]&gt;10000,"High Value","Normal")</f>
        <v>High Value</v>
      </c>
      <c r="X120" t="str">
        <f t="shared" si="3"/>
        <v>No Discount</v>
      </c>
      <c r="Y120" s="25">
        <f t="shared" si="4"/>
        <v>45444</v>
      </c>
      <c r="Z120">
        <f t="shared" si="5"/>
        <v>2024</v>
      </c>
    </row>
    <row r="121" spans="1:26" x14ac:dyDescent="0.3">
      <c r="A121" t="s">
        <v>378</v>
      </c>
      <c r="B121" s="4" t="s">
        <v>379</v>
      </c>
      <c r="C121" t="s">
        <v>162</v>
      </c>
      <c r="D121" t="s">
        <v>163</v>
      </c>
      <c r="E121" t="s">
        <v>52</v>
      </c>
      <c r="F121" t="s">
        <v>106</v>
      </c>
      <c r="G121" t="s">
        <v>306</v>
      </c>
      <c r="H121" t="s">
        <v>366</v>
      </c>
      <c r="I121" t="s">
        <v>26</v>
      </c>
      <c r="J121" t="s">
        <v>69</v>
      </c>
      <c r="K121" t="s">
        <v>70</v>
      </c>
      <c r="L121" s="8">
        <v>1</v>
      </c>
      <c r="M121" s="12">
        <v>45000</v>
      </c>
      <c r="N121" s="10">
        <v>0</v>
      </c>
      <c r="O121" s="12">
        <v>45000</v>
      </c>
      <c r="P121" s="12">
        <v>8831.26</v>
      </c>
      <c r="Q121" s="12">
        <v>81.75</v>
      </c>
      <c r="R121" t="s">
        <v>64</v>
      </c>
      <c r="U121" s="12">
        <f>Table2[[#This Row],[Quantity]]*Table2[[#This Row],[Unit_Price]]*(1-Table2[[#This Row],[ Discount]])</f>
        <v>45000</v>
      </c>
      <c r="V121" s="10">
        <f>Table2[[#This Row],[Profit]]/Table2[[#This Row],[Sales_Amount]]</f>
        <v>0.19625022222222221</v>
      </c>
      <c r="W121" t="str">
        <f>IF(Table2[[#This Row],[Sales_Amount]]&gt;10000,"High Value","Normal")</f>
        <v>High Value</v>
      </c>
      <c r="X121" t="str">
        <f t="shared" si="3"/>
        <v>No Discount</v>
      </c>
      <c r="Y121" s="25">
        <f t="shared" si="4"/>
        <v>45444</v>
      </c>
      <c r="Z121">
        <f t="shared" si="5"/>
        <v>2024</v>
      </c>
    </row>
    <row r="122" spans="1:26" x14ac:dyDescent="0.3">
      <c r="A122" t="s">
        <v>380</v>
      </c>
      <c r="B122" s="4" t="s">
        <v>377</v>
      </c>
      <c r="C122" t="s">
        <v>20</v>
      </c>
      <c r="D122" t="s">
        <v>21</v>
      </c>
      <c r="E122" t="s">
        <v>52</v>
      </c>
      <c r="F122" t="s">
        <v>23</v>
      </c>
      <c r="G122" t="s">
        <v>74</v>
      </c>
      <c r="H122" t="s">
        <v>75</v>
      </c>
      <c r="I122" t="s">
        <v>26</v>
      </c>
      <c r="J122" t="s">
        <v>27</v>
      </c>
      <c r="K122" t="s">
        <v>76</v>
      </c>
      <c r="L122" s="8">
        <v>5</v>
      </c>
      <c r="M122" s="12">
        <v>75000</v>
      </c>
      <c r="N122" s="10">
        <v>0</v>
      </c>
      <c r="O122" s="12">
        <v>375000</v>
      </c>
      <c r="P122" s="12">
        <v>84449.9</v>
      </c>
      <c r="Q122" s="12">
        <v>51.43</v>
      </c>
      <c r="R122" t="s">
        <v>39</v>
      </c>
      <c r="U122" s="12">
        <f>Table2[[#This Row],[Quantity]]*Table2[[#This Row],[Unit_Price]]*(1-Table2[[#This Row],[ Discount]])</f>
        <v>375000</v>
      </c>
      <c r="V122" s="10">
        <f>Table2[[#This Row],[Profit]]/Table2[[#This Row],[Sales_Amount]]</f>
        <v>0.22519973333333332</v>
      </c>
      <c r="W122" t="str">
        <f>IF(Table2[[#This Row],[Sales_Amount]]&gt;10000,"High Value","Normal")</f>
        <v>High Value</v>
      </c>
      <c r="X122" t="str">
        <f t="shared" si="3"/>
        <v>No Discount</v>
      </c>
      <c r="Y122" s="25">
        <f t="shared" si="4"/>
        <v>45444</v>
      </c>
      <c r="Z122">
        <f t="shared" si="5"/>
        <v>2024</v>
      </c>
    </row>
    <row r="123" spans="1:26" x14ac:dyDescent="0.3">
      <c r="A123" t="s">
        <v>381</v>
      </c>
      <c r="B123" s="4" t="s">
        <v>382</v>
      </c>
      <c r="C123" t="s">
        <v>117</v>
      </c>
      <c r="D123" t="s">
        <v>118</v>
      </c>
      <c r="E123" t="s">
        <v>67</v>
      </c>
      <c r="F123" t="s">
        <v>106</v>
      </c>
      <c r="G123" t="s">
        <v>149</v>
      </c>
      <c r="H123" t="s">
        <v>150</v>
      </c>
      <c r="I123" t="s">
        <v>26</v>
      </c>
      <c r="J123" t="s">
        <v>69</v>
      </c>
      <c r="K123" t="s">
        <v>80</v>
      </c>
      <c r="L123" s="8">
        <v>5</v>
      </c>
      <c r="M123" s="12">
        <v>50000</v>
      </c>
      <c r="N123" s="10">
        <v>0</v>
      </c>
      <c r="O123" s="12">
        <v>250000</v>
      </c>
      <c r="P123" s="12">
        <v>64909.52</v>
      </c>
      <c r="Q123" s="12">
        <v>155.21</v>
      </c>
      <c r="R123" t="s">
        <v>39</v>
      </c>
      <c r="U123" s="12">
        <f>Table2[[#This Row],[Quantity]]*Table2[[#This Row],[Unit_Price]]*(1-Table2[[#This Row],[ Discount]])</f>
        <v>250000</v>
      </c>
      <c r="V123" s="10">
        <f>Table2[[#This Row],[Profit]]/Table2[[#This Row],[Sales_Amount]]</f>
        <v>0.25963807999999999</v>
      </c>
      <c r="W123" t="str">
        <f>IF(Table2[[#This Row],[Sales_Amount]]&gt;10000,"High Value","Normal")</f>
        <v>High Value</v>
      </c>
      <c r="X123" t="str">
        <f t="shared" si="3"/>
        <v>No Discount</v>
      </c>
      <c r="Y123" s="25">
        <f t="shared" si="4"/>
        <v>45444</v>
      </c>
      <c r="Z123">
        <f t="shared" si="5"/>
        <v>2024</v>
      </c>
    </row>
    <row r="124" spans="1:26" x14ac:dyDescent="0.3">
      <c r="A124" t="s">
        <v>383</v>
      </c>
      <c r="B124" s="4" t="s">
        <v>384</v>
      </c>
      <c r="C124" t="s">
        <v>143</v>
      </c>
      <c r="D124" t="s">
        <v>144</v>
      </c>
      <c r="E124" t="s">
        <v>52</v>
      </c>
      <c r="F124" t="s">
        <v>44</v>
      </c>
      <c r="G124" t="s">
        <v>192</v>
      </c>
      <c r="H124" t="s">
        <v>271</v>
      </c>
      <c r="I124" t="s">
        <v>36</v>
      </c>
      <c r="J124" t="s">
        <v>113</v>
      </c>
      <c r="K124" t="s">
        <v>159</v>
      </c>
      <c r="L124" s="8">
        <v>4</v>
      </c>
      <c r="M124" s="12">
        <v>1500</v>
      </c>
      <c r="N124" s="10">
        <v>0</v>
      </c>
      <c r="O124" s="12">
        <v>6000</v>
      </c>
      <c r="P124" s="12">
        <v>748.43</v>
      </c>
      <c r="Q124" s="12">
        <v>304.23</v>
      </c>
      <c r="R124" t="s">
        <v>39</v>
      </c>
      <c r="U124" s="12">
        <f>Table2[[#This Row],[Quantity]]*Table2[[#This Row],[Unit_Price]]*(1-Table2[[#This Row],[ Discount]])</f>
        <v>6000</v>
      </c>
      <c r="V124" s="10">
        <f>Table2[[#This Row],[Profit]]/Table2[[#This Row],[Sales_Amount]]</f>
        <v>0.12473833333333333</v>
      </c>
      <c r="W124" t="str">
        <f>IF(Table2[[#This Row],[Sales_Amount]]&gt;10000,"High Value","Normal")</f>
        <v>Normal</v>
      </c>
      <c r="X124" t="str">
        <f t="shared" si="3"/>
        <v>No Discount</v>
      </c>
      <c r="Y124" s="25">
        <f t="shared" si="4"/>
        <v>45444</v>
      </c>
      <c r="Z124">
        <f t="shared" si="5"/>
        <v>2024</v>
      </c>
    </row>
    <row r="125" spans="1:26" x14ac:dyDescent="0.3">
      <c r="A125" t="s">
        <v>385</v>
      </c>
      <c r="B125" s="4" t="s">
        <v>373</v>
      </c>
      <c r="C125" t="s">
        <v>206</v>
      </c>
      <c r="D125" t="s">
        <v>207</v>
      </c>
      <c r="E125" t="s">
        <v>22</v>
      </c>
      <c r="F125" t="s">
        <v>23</v>
      </c>
      <c r="G125" t="s">
        <v>34</v>
      </c>
      <c r="H125" t="s">
        <v>35</v>
      </c>
      <c r="I125" t="s">
        <v>36</v>
      </c>
      <c r="J125" t="s">
        <v>140</v>
      </c>
      <c r="K125" t="s">
        <v>337</v>
      </c>
      <c r="L125" s="8">
        <v>3</v>
      </c>
      <c r="M125" s="12">
        <v>5500</v>
      </c>
      <c r="N125" s="10">
        <v>0.05</v>
      </c>
      <c r="O125" s="12">
        <v>15675</v>
      </c>
      <c r="P125" s="12">
        <v>1890.78</v>
      </c>
      <c r="Q125" s="12">
        <v>188.79</v>
      </c>
      <c r="R125" t="s">
        <v>29</v>
      </c>
      <c r="U125" s="12">
        <f>Table2[[#This Row],[Quantity]]*Table2[[#This Row],[Unit_Price]]*(1-Table2[[#This Row],[ Discount]])</f>
        <v>15675</v>
      </c>
      <c r="V125" s="10">
        <f>Table2[[#This Row],[Profit]]/Table2[[#This Row],[Sales_Amount]]</f>
        <v>0.12062392344497608</v>
      </c>
      <c r="W125" t="str">
        <f>IF(Table2[[#This Row],[Sales_Amount]]&gt;10000,"High Value","Normal")</f>
        <v>High Value</v>
      </c>
      <c r="X125" t="str">
        <f t="shared" si="3"/>
        <v>Low</v>
      </c>
      <c r="Y125" s="25">
        <f t="shared" si="4"/>
        <v>45444</v>
      </c>
      <c r="Z125">
        <f t="shared" si="5"/>
        <v>2024</v>
      </c>
    </row>
    <row r="126" spans="1:26" x14ac:dyDescent="0.3">
      <c r="A126" t="s">
        <v>386</v>
      </c>
      <c r="B126" s="4" t="s">
        <v>375</v>
      </c>
      <c r="C126" t="s">
        <v>147</v>
      </c>
      <c r="D126" t="s">
        <v>148</v>
      </c>
      <c r="E126" t="s">
        <v>67</v>
      </c>
      <c r="F126" t="s">
        <v>53</v>
      </c>
      <c r="G126" t="s">
        <v>100</v>
      </c>
      <c r="H126" t="s">
        <v>101</v>
      </c>
      <c r="I126" t="s">
        <v>36</v>
      </c>
      <c r="J126" t="s">
        <v>140</v>
      </c>
      <c r="K126" t="s">
        <v>287</v>
      </c>
      <c r="L126" s="8">
        <v>2</v>
      </c>
      <c r="M126" s="12">
        <v>4000</v>
      </c>
      <c r="N126" s="10">
        <v>0</v>
      </c>
      <c r="O126" s="12">
        <v>8000</v>
      </c>
      <c r="P126" s="12">
        <v>985.14</v>
      </c>
      <c r="Q126" s="12">
        <v>378.57</v>
      </c>
      <c r="R126" t="s">
        <v>29</v>
      </c>
      <c r="U126" s="12">
        <f>Table2[[#This Row],[Quantity]]*Table2[[#This Row],[Unit_Price]]*(1-Table2[[#This Row],[ Discount]])</f>
        <v>8000</v>
      </c>
      <c r="V126" s="10">
        <f>Table2[[#This Row],[Profit]]/Table2[[#This Row],[Sales_Amount]]</f>
        <v>0.1231425</v>
      </c>
      <c r="W126" t="str">
        <f>IF(Table2[[#This Row],[Sales_Amount]]&gt;10000,"High Value","Normal")</f>
        <v>Normal</v>
      </c>
      <c r="X126" t="str">
        <f t="shared" si="3"/>
        <v>No Discount</v>
      </c>
      <c r="Y126" s="25">
        <f t="shared" si="4"/>
        <v>45444</v>
      </c>
      <c r="Z126">
        <f t="shared" si="5"/>
        <v>2024</v>
      </c>
    </row>
    <row r="127" spans="1:26" x14ac:dyDescent="0.3">
      <c r="A127" t="s">
        <v>387</v>
      </c>
      <c r="B127" s="4" t="s">
        <v>388</v>
      </c>
      <c r="C127" t="s">
        <v>157</v>
      </c>
      <c r="D127" t="s">
        <v>158</v>
      </c>
      <c r="E127" t="s">
        <v>67</v>
      </c>
      <c r="F127" t="s">
        <v>53</v>
      </c>
      <c r="G127" t="s">
        <v>100</v>
      </c>
      <c r="H127" t="s">
        <v>213</v>
      </c>
      <c r="I127" t="s">
        <v>47</v>
      </c>
      <c r="J127" t="s">
        <v>85</v>
      </c>
      <c r="K127" t="s">
        <v>86</v>
      </c>
      <c r="L127" s="8">
        <v>2</v>
      </c>
      <c r="M127" s="12">
        <v>3500</v>
      </c>
      <c r="N127" s="10">
        <v>0</v>
      </c>
      <c r="O127" s="12">
        <v>7000</v>
      </c>
      <c r="P127" s="12">
        <v>803.92</v>
      </c>
      <c r="Q127" s="12">
        <v>93.48</v>
      </c>
      <c r="R127" t="s">
        <v>39</v>
      </c>
      <c r="U127" s="12">
        <f>Table2[[#This Row],[Quantity]]*Table2[[#This Row],[Unit_Price]]*(1-Table2[[#This Row],[ Discount]])</f>
        <v>7000</v>
      </c>
      <c r="V127" s="10">
        <f>Table2[[#This Row],[Profit]]/Table2[[#This Row],[Sales_Amount]]</f>
        <v>0.11484571428571427</v>
      </c>
      <c r="W127" t="str">
        <f>IF(Table2[[#This Row],[Sales_Amount]]&gt;10000,"High Value","Normal")</f>
        <v>Normal</v>
      </c>
      <c r="X127" t="str">
        <f t="shared" si="3"/>
        <v>No Discount</v>
      </c>
      <c r="Y127" s="25">
        <f t="shared" si="4"/>
        <v>45444</v>
      </c>
      <c r="Z127">
        <f t="shared" si="5"/>
        <v>2024</v>
      </c>
    </row>
    <row r="128" spans="1:26" x14ac:dyDescent="0.3">
      <c r="A128" t="s">
        <v>389</v>
      </c>
      <c r="B128" s="4" t="s">
        <v>390</v>
      </c>
      <c r="C128" t="s">
        <v>32</v>
      </c>
      <c r="D128" t="s">
        <v>33</v>
      </c>
      <c r="E128" t="s">
        <v>22</v>
      </c>
      <c r="F128" t="s">
        <v>23</v>
      </c>
      <c r="G128" t="s">
        <v>34</v>
      </c>
      <c r="H128" t="s">
        <v>239</v>
      </c>
      <c r="I128" t="s">
        <v>47</v>
      </c>
      <c r="J128" t="s">
        <v>48</v>
      </c>
      <c r="K128" t="s">
        <v>63</v>
      </c>
      <c r="L128" s="8">
        <v>1</v>
      </c>
      <c r="M128" s="12">
        <v>2800</v>
      </c>
      <c r="N128" s="10">
        <v>0.05</v>
      </c>
      <c r="O128" s="12">
        <v>2660</v>
      </c>
      <c r="P128" s="12">
        <v>528.84</v>
      </c>
      <c r="Q128" s="12">
        <v>154.19</v>
      </c>
      <c r="R128" t="s">
        <v>39</v>
      </c>
      <c r="U128" s="12">
        <f>Table2[[#This Row],[Quantity]]*Table2[[#This Row],[Unit_Price]]*(1-Table2[[#This Row],[ Discount]])</f>
        <v>2660</v>
      </c>
      <c r="V128" s="10">
        <f>Table2[[#This Row],[Profit]]/Table2[[#This Row],[Sales_Amount]]</f>
        <v>0.198812030075188</v>
      </c>
      <c r="W128" t="str">
        <f>IF(Table2[[#This Row],[Sales_Amount]]&gt;10000,"High Value","Normal")</f>
        <v>Normal</v>
      </c>
      <c r="X128" t="str">
        <f t="shared" si="3"/>
        <v>Low</v>
      </c>
      <c r="Y128" s="25">
        <f t="shared" si="4"/>
        <v>45444</v>
      </c>
      <c r="Z128">
        <f t="shared" si="5"/>
        <v>2024</v>
      </c>
    </row>
    <row r="129" spans="1:26" x14ac:dyDescent="0.3">
      <c r="A129" t="s">
        <v>391</v>
      </c>
      <c r="B129" s="4" t="s">
        <v>392</v>
      </c>
      <c r="C129" t="s">
        <v>242</v>
      </c>
      <c r="D129" t="s">
        <v>243</v>
      </c>
      <c r="E129" t="s">
        <v>22</v>
      </c>
      <c r="F129" t="s">
        <v>23</v>
      </c>
      <c r="G129" t="s">
        <v>24</v>
      </c>
      <c r="H129" t="s">
        <v>25</v>
      </c>
      <c r="I129" t="s">
        <v>26</v>
      </c>
      <c r="J129" t="s">
        <v>69</v>
      </c>
      <c r="K129" t="s">
        <v>131</v>
      </c>
      <c r="L129" s="8">
        <v>5</v>
      </c>
      <c r="M129" s="12">
        <v>115000</v>
      </c>
      <c r="N129" s="10">
        <v>0</v>
      </c>
      <c r="O129" s="12">
        <v>575000</v>
      </c>
      <c r="P129" s="12">
        <v>114209.14</v>
      </c>
      <c r="Q129" s="12">
        <v>158.65</v>
      </c>
      <c r="R129" t="s">
        <v>64</v>
      </c>
      <c r="U129" s="12">
        <f>Table2[[#This Row],[Quantity]]*Table2[[#This Row],[Unit_Price]]*(1-Table2[[#This Row],[ Discount]])</f>
        <v>575000</v>
      </c>
      <c r="V129" s="10">
        <f>Table2[[#This Row],[Profit]]/Table2[[#This Row],[Sales_Amount]]</f>
        <v>0.19862459130434781</v>
      </c>
      <c r="W129" t="str">
        <f>IF(Table2[[#This Row],[Sales_Amount]]&gt;10000,"High Value","Normal")</f>
        <v>High Value</v>
      </c>
      <c r="X129" t="str">
        <f t="shared" si="3"/>
        <v>No Discount</v>
      </c>
      <c r="Y129" s="25">
        <f t="shared" si="4"/>
        <v>45444</v>
      </c>
      <c r="Z129">
        <f t="shared" si="5"/>
        <v>2024</v>
      </c>
    </row>
    <row r="130" spans="1:26" x14ac:dyDescent="0.3">
      <c r="A130" t="s">
        <v>393</v>
      </c>
      <c r="B130" s="4" t="s">
        <v>394</v>
      </c>
      <c r="C130" t="s">
        <v>278</v>
      </c>
      <c r="D130" t="s">
        <v>279</v>
      </c>
      <c r="E130" t="s">
        <v>22</v>
      </c>
      <c r="F130" t="s">
        <v>53</v>
      </c>
      <c r="G130" t="s">
        <v>54</v>
      </c>
      <c r="H130" t="s">
        <v>112</v>
      </c>
      <c r="I130" t="s">
        <v>26</v>
      </c>
      <c r="J130" t="s">
        <v>69</v>
      </c>
      <c r="K130" t="s">
        <v>80</v>
      </c>
      <c r="L130" s="8">
        <v>2</v>
      </c>
      <c r="M130" s="12">
        <v>50000</v>
      </c>
      <c r="N130" s="10">
        <v>0.1</v>
      </c>
      <c r="O130" s="12">
        <v>90000</v>
      </c>
      <c r="P130" s="12">
        <v>10659.77</v>
      </c>
      <c r="Q130" s="12">
        <v>332.92</v>
      </c>
      <c r="R130" t="s">
        <v>57</v>
      </c>
      <c r="U130" s="12">
        <f>Table2[[#This Row],[Quantity]]*Table2[[#This Row],[Unit_Price]]*(1-Table2[[#This Row],[ Discount]])</f>
        <v>90000</v>
      </c>
      <c r="V130" s="10">
        <f>Table2[[#This Row],[Profit]]/Table2[[#This Row],[Sales_Amount]]</f>
        <v>0.11844188888888889</v>
      </c>
      <c r="W130" t="str">
        <f>IF(Table2[[#This Row],[Sales_Amount]]&gt;10000,"High Value","Normal")</f>
        <v>High Value</v>
      </c>
      <c r="X130" t="str">
        <f t="shared" si="3"/>
        <v>Medium</v>
      </c>
      <c r="Y130" s="25">
        <f t="shared" si="4"/>
        <v>45444</v>
      </c>
      <c r="Z130">
        <f t="shared" si="5"/>
        <v>2024</v>
      </c>
    </row>
    <row r="131" spans="1:26" x14ac:dyDescent="0.3">
      <c r="A131" t="s">
        <v>395</v>
      </c>
      <c r="B131" s="4" t="s">
        <v>392</v>
      </c>
      <c r="C131" t="s">
        <v>78</v>
      </c>
      <c r="D131" t="s">
        <v>79</v>
      </c>
      <c r="E131" t="s">
        <v>22</v>
      </c>
      <c r="F131" t="s">
        <v>23</v>
      </c>
      <c r="G131" t="s">
        <v>74</v>
      </c>
      <c r="H131" t="s">
        <v>75</v>
      </c>
      <c r="I131" t="s">
        <v>26</v>
      </c>
      <c r="J131" t="s">
        <v>69</v>
      </c>
      <c r="K131" t="s">
        <v>80</v>
      </c>
      <c r="L131" s="8">
        <v>1</v>
      </c>
      <c r="M131" s="12">
        <v>50000</v>
      </c>
      <c r="N131" s="10">
        <v>0</v>
      </c>
      <c r="O131" s="12">
        <v>50000</v>
      </c>
      <c r="P131" s="12">
        <v>7388.56</v>
      </c>
      <c r="Q131" s="12">
        <v>101.69</v>
      </c>
      <c r="R131" t="s">
        <v>57</v>
      </c>
      <c r="U131" s="12">
        <f>Table2[[#This Row],[Quantity]]*Table2[[#This Row],[Unit_Price]]*(1-Table2[[#This Row],[ Discount]])</f>
        <v>50000</v>
      </c>
      <c r="V131" s="10">
        <f>Table2[[#This Row],[Profit]]/Table2[[#This Row],[Sales_Amount]]</f>
        <v>0.14777120000000002</v>
      </c>
      <c r="W131" t="str">
        <f>IF(Table2[[#This Row],[Sales_Amount]]&gt;10000,"High Value","Normal")</f>
        <v>High Value</v>
      </c>
      <c r="X131" t="str">
        <f t="shared" ref="X131:X194" si="6">IF(N131=0,"No Discount",IF(N131&lt;=0.05,"Low",IF(N131&lt;=0.1,"Medium","High")))</f>
        <v>No Discount</v>
      </c>
      <c r="Y131" s="25">
        <f t="shared" ref="Y131:Y194" si="7">DATE(YEAR(B131),MONTH(B131),1)</f>
        <v>45444</v>
      </c>
      <c r="Z131">
        <f t="shared" ref="Z131:Z194" si="8">YEAR(B131)</f>
        <v>2024</v>
      </c>
    </row>
    <row r="132" spans="1:26" x14ac:dyDescent="0.3">
      <c r="A132" t="s">
        <v>396</v>
      </c>
      <c r="B132" s="4" t="s">
        <v>397</v>
      </c>
      <c r="C132" t="s">
        <v>104</v>
      </c>
      <c r="D132" t="s">
        <v>105</v>
      </c>
      <c r="E132" t="s">
        <v>22</v>
      </c>
      <c r="F132" t="s">
        <v>106</v>
      </c>
      <c r="G132" t="s">
        <v>306</v>
      </c>
      <c r="H132" t="s">
        <v>307</v>
      </c>
      <c r="I132" t="s">
        <v>47</v>
      </c>
      <c r="J132" t="s">
        <v>85</v>
      </c>
      <c r="K132" t="s">
        <v>274</v>
      </c>
      <c r="L132" s="8">
        <v>3</v>
      </c>
      <c r="M132" s="12">
        <v>2400</v>
      </c>
      <c r="N132" s="10">
        <v>0.1</v>
      </c>
      <c r="O132" s="12">
        <v>6480</v>
      </c>
      <c r="P132" s="12">
        <v>630.48</v>
      </c>
      <c r="Q132" s="12">
        <v>231.5</v>
      </c>
      <c r="R132" t="s">
        <v>39</v>
      </c>
      <c r="U132" s="12">
        <f>Table2[[#This Row],[Quantity]]*Table2[[#This Row],[Unit_Price]]*(1-Table2[[#This Row],[ Discount]])</f>
        <v>6480</v>
      </c>
      <c r="V132" s="10">
        <f>Table2[[#This Row],[Profit]]/Table2[[#This Row],[Sales_Amount]]</f>
        <v>9.7296296296296297E-2</v>
      </c>
      <c r="W132" t="str">
        <f>IF(Table2[[#This Row],[Sales_Amount]]&gt;10000,"High Value","Normal")</f>
        <v>Normal</v>
      </c>
      <c r="X132" t="str">
        <f t="shared" si="6"/>
        <v>Medium</v>
      </c>
      <c r="Y132" s="25">
        <f t="shared" si="7"/>
        <v>45444</v>
      </c>
      <c r="Z132">
        <f t="shared" si="8"/>
        <v>2024</v>
      </c>
    </row>
    <row r="133" spans="1:26" x14ac:dyDescent="0.3">
      <c r="A133" t="s">
        <v>398</v>
      </c>
      <c r="B133" s="4" t="s">
        <v>384</v>
      </c>
      <c r="C133" t="s">
        <v>206</v>
      </c>
      <c r="D133" t="s">
        <v>207</v>
      </c>
      <c r="E133" t="s">
        <v>52</v>
      </c>
      <c r="F133" t="s">
        <v>53</v>
      </c>
      <c r="G133" t="s">
        <v>100</v>
      </c>
      <c r="H133" t="s">
        <v>101</v>
      </c>
      <c r="I133" t="s">
        <v>47</v>
      </c>
      <c r="J133" t="s">
        <v>48</v>
      </c>
      <c r="K133" t="s">
        <v>196</v>
      </c>
      <c r="L133" s="8">
        <v>4</v>
      </c>
      <c r="M133" s="12">
        <v>2500</v>
      </c>
      <c r="N133" s="10">
        <v>0.05</v>
      </c>
      <c r="O133" s="12">
        <v>9500</v>
      </c>
      <c r="P133" s="12">
        <v>1421.79</v>
      </c>
      <c r="Q133" s="12">
        <v>229.62</v>
      </c>
      <c r="R133" t="s">
        <v>29</v>
      </c>
      <c r="U133" s="12">
        <f>Table2[[#This Row],[Quantity]]*Table2[[#This Row],[Unit_Price]]*(1-Table2[[#This Row],[ Discount]])</f>
        <v>9500</v>
      </c>
      <c r="V133" s="10">
        <f>Table2[[#This Row],[Profit]]/Table2[[#This Row],[Sales_Amount]]</f>
        <v>0.1496621052631579</v>
      </c>
      <c r="W133" t="str">
        <f>IF(Table2[[#This Row],[Sales_Amount]]&gt;10000,"High Value","Normal")</f>
        <v>Normal</v>
      </c>
      <c r="X133" t="str">
        <f t="shared" si="6"/>
        <v>Low</v>
      </c>
      <c r="Y133" s="25">
        <f t="shared" si="7"/>
        <v>45444</v>
      </c>
      <c r="Z133">
        <f t="shared" si="8"/>
        <v>2024</v>
      </c>
    </row>
    <row r="134" spans="1:26" x14ac:dyDescent="0.3">
      <c r="A134" t="s">
        <v>399</v>
      </c>
      <c r="B134" s="4" t="s">
        <v>400</v>
      </c>
      <c r="C134" t="s">
        <v>89</v>
      </c>
      <c r="D134" t="s">
        <v>90</v>
      </c>
      <c r="E134" t="s">
        <v>67</v>
      </c>
      <c r="F134" t="s">
        <v>53</v>
      </c>
      <c r="G134" t="s">
        <v>100</v>
      </c>
      <c r="H134" t="s">
        <v>213</v>
      </c>
      <c r="I134" t="s">
        <v>26</v>
      </c>
      <c r="J134" t="s">
        <v>91</v>
      </c>
      <c r="K134" t="s">
        <v>153</v>
      </c>
      <c r="L134" s="8">
        <v>3</v>
      </c>
      <c r="M134" s="12">
        <v>800</v>
      </c>
      <c r="N134" s="10">
        <v>0</v>
      </c>
      <c r="O134" s="12">
        <v>2400</v>
      </c>
      <c r="P134" s="12">
        <v>604.21</v>
      </c>
      <c r="Q134" s="12">
        <v>312.62</v>
      </c>
      <c r="R134" t="s">
        <v>57</v>
      </c>
      <c r="U134" s="12">
        <f>Table2[[#This Row],[Quantity]]*Table2[[#This Row],[Unit_Price]]*(1-Table2[[#This Row],[ Discount]])</f>
        <v>2400</v>
      </c>
      <c r="V134" s="10">
        <f>Table2[[#This Row],[Profit]]/Table2[[#This Row],[Sales_Amount]]</f>
        <v>0.25175416666666667</v>
      </c>
      <c r="W134" t="str">
        <f>IF(Table2[[#This Row],[Sales_Amount]]&gt;10000,"High Value","Normal")</f>
        <v>Normal</v>
      </c>
      <c r="X134" t="str">
        <f t="shared" si="6"/>
        <v>No Discount</v>
      </c>
      <c r="Y134" s="25">
        <f t="shared" si="7"/>
        <v>45444</v>
      </c>
      <c r="Z134">
        <f t="shared" si="8"/>
        <v>2024</v>
      </c>
    </row>
    <row r="135" spans="1:26" x14ac:dyDescent="0.3">
      <c r="A135" t="s">
        <v>401</v>
      </c>
      <c r="B135" s="4" t="s">
        <v>400</v>
      </c>
      <c r="C135" t="s">
        <v>94</v>
      </c>
      <c r="D135" t="s">
        <v>95</v>
      </c>
      <c r="E135" t="s">
        <v>52</v>
      </c>
      <c r="F135" t="s">
        <v>53</v>
      </c>
      <c r="G135" t="s">
        <v>100</v>
      </c>
      <c r="H135" t="s">
        <v>213</v>
      </c>
      <c r="I135" t="s">
        <v>26</v>
      </c>
      <c r="J135" t="s">
        <v>27</v>
      </c>
      <c r="K135" t="s">
        <v>358</v>
      </c>
      <c r="L135" s="8">
        <v>3</v>
      </c>
      <c r="M135" s="12">
        <v>22000</v>
      </c>
      <c r="N135" s="10">
        <v>0</v>
      </c>
      <c r="O135" s="12">
        <v>66000</v>
      </c>
      <c r="P135" s="12">
        <v>5281.64</v>
      </c>
      <c r="Q135" s="12">
        <v>80.31</v>
      </c>
      <c r="R135" t="s">
        <v>39</v>
      </c>
      <c r="U135" s="12">
        <f>Table2[[#This Row],[Quantity]]*Table2[[#This Row],[Unit_Price]]*(1-Table2[[#This Row],[ Discount]])</f>
        <v>66000</v>
      </c>
      <c r="V135" s="10">
        <f>Table2[[#This Row],[Profit]]/Table2[[#This Row],[Sales_Amount]]</f>
        <v>8.002484848484849E-2</v>
      </c>
      <c r="W135" t="str">
        <f>IF(Table2[[#This Row],[Sales_Amount]]&gt;10000,"High Value","Normal")</f>
        <v>High Value</v>
      </c>
      <c r="X135" t="str">
        <f t="shared" si="6"/>
        <v>No Discount</v>
      </c>
      <c r="Y135" s="25">
        <f t="shared" si="7"/>
        <v>45444</v>
      </c>
      <c r="Z135">
        <f t="shared" si="8"/>
        <v>2024</v>
      </c>
    </row>
    <row r="136" spans="1:26" x14ac:dyDescent="0.3">
      <c r="A136" t="s">
        <v>402</v>
      </c>
      <c r="B136" s="4" t="s">
        <v>403</v>
      </c>
      <c r="C136" t="s">
        <v>32</v>
      </c>
      <c r="D136" t="s">
        <v>33</v>
      </c>
      <c r="E136" t="s">
        <v>67</v>
      </c>
      <c r="F136" t="s">
        <v>106</v>
      </c>
      <c r="G136" t="s">
        <v>107</v>
      </c>
      <c r="H136" t="s">
        <v>108</v>
      </c>
      <c r="I136" t="s">
        <v>36</v>
      </c>
      <c r="J136" t="s">
        <v>140</v>
      </c>
      <c r="K136" t="s">
        <v>404</v>
      </c>
      <c r="L136" s="8">
        <v>5</v>
      </c>
      <c r="M136" s="12">
        <v>3200</v>
      </c>
      <c r="N136" s="10">
        <v>0.15</v>
      </c>
      <c r="O136" s="12">
        <v>13600</v>
      </c>
      <c r="P136" s="12">
        <v>1483.26</v>
      </c>
      <c r="Q136" s="12">
        <v>405</v>
      </c>
      <c r="R136" t="s">
        <v>29</v>
      </c>
      <c r="U136" s="12">
        <f>Table2[[#This Row],[Quantity]]*Table2[[#This Row],[Unit_Price]]*(1-Table2[[#This Row],[ Discount]])</f>
        <v>13600</v>
      </c>
      <c r="V136" s="10">
        <f>Table2[[#This Row],[Profit]]/Table2[[#This Row],[Sales_Amount]]</f>
        <v>0.10906323529411764</v>
      </c>
      <c r="W136" t="str">
        <f>IF(Table2[[#This Row],[Sales_Amount]]&gt;10000,"High Value","Normal")</f>
        <v>High Value</v>
      </c>
      <c r="X136" t="str">
        <f t="shared" si="6"/>
        <v>High</v>
      </c>
      <c r="Y136" s="25">
        <f t="shared" si="7"/>
        <v>45444</v>
      </c>
      <c r="Z136">
        <f t="shared" si="8"/>
        <v>2024</v>
      </c>
    </row>
    <row r="137" spans="1:26" x14ac:dyDescent="0.3">
      <c r="A137" t="s">
        <v>405</v>
      </c>
      <c r="B137" s="4" t="s">
        <v>406</v>
      </c>
      <c r="C137" t="s">
        <v>20</v>
      </c>
      <c r="D137" t="s">
        <v>21</v>
      </c>
      <c r="E137" t="s">
        <v>52</v>
      </c>
      <c r="F137" t="s">
        <v>44</v>
      </c>
      <c r="G137" t="s">
        <v>45</v>
      </c>
      <c r="H137" t="s">
        <v>124</v>
      </c>
      <c r="I137" t="s">
        <v>47</v>
      </c>
      <c r="J137" t="s">
        <v>48</v>
      </c>
      <c r="K137" t="s">
        <v>407</v>
      </c>
      <c r="L137" s="8">
        <v>1</v>
      </c>
      <c r="M137" s="12">
        <v>1200</v>
      </c>
      <c r="N137" s="10">
        <v>0.05</v>
      </c>
      <c r="O137" s="12">
        <v>1140</v>
      </c>
      <c r="P137" s="12">
        <v>131.07</v>
      </c>
      <c r="Q137" s="12">
        <v>229.45</v>
      </c>
      <c r="R137" t="s">
        <v>39</v>
      </c>
      <c r="U137" s="12">
        <f>Table2[[#This Row],[Quantity]]*Table2[[#This Row],[Unit_Price]]*(1-Table2[[#This Row],[ Discount]])</f>
        <v>1140</v>
      </c>
      <c r="V137" s="10">
        <f>Table2[[#This Row],[Profit]]/Table2[[#This Row],[Sales_Amount]]</f>
        <v>0.11497368421052631</v>
      </c>
      <c r="W137" t="str">
        <f>IF(Table2[[#This Row],[Sales_Amount]]&gt;10000,"High Value","Normal")</f>
        <v>Normal</v>
      </c>
      <c r="X137" t="str">
        <f t="shared" si="6"/>
        <v>Low</v>
      </c>
      <c r="Y137" s="25">
        <f t="shared" si="7"/>
        <v>45444</v>
      </c>
      <c r="Z137">
        <f t="shared" si="8"/>
        <v>2024</v>
      </c>
    </row>
    <row r="138" spans="1:26" x14ac:dyDescent="0.3">
      <c r="A138" t="s">
        <v>408</v>
      </c>
      <c r="B138" s="4" t="s">
        <v>409</v>
      </c>
      <c r="C138" t="s">
        <v>185</v>
      </c>
      <c r="D138" t="s">
        <v>186</v>
      </c>
      <c r="E138" t="s">
        <v>52</v>
      </c>
      <c r="F138" t="s">
        <v>106</v>
      </c>
      <c r="G138" t="s">
        <v>107</v>
      </c>
      <c r="H138" t="s">
        <v>108</v>
      </c>
      <c r="I138" t="s">
        <v>36</v>
      </c>
      <c r="J138" t="s">
        <v>37</v>
      </c>
      <c r="K138" t="s">
        <v>229</v>
      </c>
      <c r="L138" s="8">
        <v>3</v>
      </c>
      <c r="M138" s="12">
        <v>18000</v>
      </c>
      <c r="N138" s="10">
        <v>0.15</v>
      </c>
      <c r="O138" s="12">
        <v>45900</v>
      </c>
      <c r="P138" s="12">
        <v>3827.06</v>
      </c>
      <c r="Q138" s="12">
        <v>201.13</v>
      </c>
      <c r="R138" t="s">
        <v>57</v>
      </c>
      <c r="U138" s="12">
        <f>Table2[[#This Row],[Quantity]]*Table2[[#This Row],[Unit_Price]]*(1-Table2[[#This Row],[ Discount]])</f>
        <v>45900</v>
      </c>
      <c r="V138" s="10">
        <f>Table2[[#This Row],[Profit]]/Table2[[#This Row],[Sales_Amount]]</f>
        <v>8.3378213507625268E-2</v>
      </c>
      <c r="W138" t="str">
        <f>IF(Table2[[#This Row],[Sales_Amount]]&gt;10000,"High Value","Normal")</f>
        <v>High Value</v>
      </c>
      <c r="X138" t="str">
        <f t="shared" si="6"/>
        <v>High</v>
      </c>
      <c r="Y138" s="25">
        <f t="shared" si="7"/>
        <v>45474</v>
      </c>
      <c r="Z138">
        <f t="shared" si="8"/>
        <v>2024</v>
      </c>
    </row>
    <row r="139" spans="1:26" x14ac:dyDescent="0.3">
      <c r="A139" t="s">
        <v>410</v>
      </c>
      <c r="B139" s="4" t="s">
        <v>411</v>
      </c>
      <c r="C139" t="s">
        <v>134</v>
      </c>
      <c r="D139" t="s">
        <v>135</v>
      </c>
      <c r="E139" t="s">
        <v>22</v>
      </c>
      <c r="F139" t="s">
        <v>44</v>
      </c>
      <c r="G139" t="s">
        <v>45</v>
      </c>
      <c r="H139" t="s">
        <v>96</v>
      </c>
      <c r="I139" t="s">
        <v>36</v>
      </c>
      <c r="J139" t="s">
        <v>113</v>
      </c>
      <c r="K139" t="s">
        <v>220</v>
      </c>
      <c r="L139" s="8">
        <v>2</v>
      </c>
      <c r="M139" s="12">
        <v>1800</v>
      </c>
      <c r="N139" s="10">
        <v>0.05</v>
      </c>
      <c r="O139" s="12">
        <v>3420</v>
      </c>
      <c r="P139" s="12">
        <v>340.03</v>
      </c>
      <c r="Q139" s="12">
        <v>74.25</v>
      </c>
      <c r="R139" t="s">
        <v>64</v>
      </c>
      <c r="U139" s="12">
        <f>Table2[[#This Row],[Quantity]]*Table2[[#This Row],[Unit_Price]]*(1-Table2[[#This Row],[ Discount]])</f>
        <v>3420</v>
      </c>
      <c r="V139" s="10">
        <f>Table2[[#This Row],[Profit]]/Table2[[#This Row],[Sales_Amount]]</f>
        <v>9.9423976608187123E-2</v>
      </c>
      <c r="W139" t="str">
        <f>IF(Table2[[#This Row],[Sales_Amount]]&gt;10000,"High Value","Normal")</f>
        <v>Normal</v>
      </c>
      <c r="X139" t="str">
        <f t="shared" si="6"/>
        <v>Low</v>
      </c>
      <c r="Y139" s="25">
        <f t="shared" si="7"/>
        <v>45474</v>
      </c>
      <c r="Z139">
        <f t="shared" si="8"/>
        <v>2024</v>
      </c>
    </row>
    <row r="140" spans="1:26" x14ac:dyDescent="0.3">
      <c r="A140" t="s">
        <v>412</v>
      </c>
      <c r="B140" s="4" t="s">
        <v>413</v>
      </c>
      <c r="C140" t="s">
        <v>178</v>
      </c>
      <c r="D140" t="s">
        <v>179</v>
      </c>
      <c r="E140" t="s">
        <v>22</v>
      </c>
      <c r="F140" t="s">
        <v>44</v>
      </c>
      <c r="G140" t="s">
        <v>45</v>
      </c>
      <c r="H140" t="s">
        <v>96</v>
      </c>
      <c r="I140" t="s">
        <v>26</v>
      </c>
      <c r="J140" t="s">
        <v>91</v>
      </c>
      <c r="K140" t="s">
        <v>92</v>
      </c>
      <c r="L140" s="8">
        <v>3</v>
      </c>
      <c r="M140" s="12">
        <v>1200</v>
      </c>
      <c r="N140" s="10">
        <v>0</v>
      </c>
      <c r="O140" s="12">
        <v>3600</v>
      </c>
      <c r="P140" s="12">
        <v>409.51</v>
      </c>
      <c r="Q140" s="12">
        <v>161.74</v>
      </c>
      <c r="R140" t="s">
        <v>29</v>
      </c>
      <c r="U140" s="12">
        <f>Table2[[#This Row],[Quantity]]*Table2[[#This Row],[Unit_Price]]*(1-Table2[[#This Row],[ Discount]])</f>
        <v>3600</v>
      </c>
      <c r="V140" s="10">
        <f>Table2[[#This Row],[Profit]]/Table2[[#This Row],[Sales_Amount]]</f>
        <v>0.11375277777777777</v>
      </c>
      <c r="W140" t="str">
        <f>IF(Table2[[#This Row],[Sales_Amount]]&gt;10000,"High Value","Normal")</f>
        <v>Normal</v>
      </c>
      <c r="X140" t="str">
        <f t="shared" si="6"/>
        <v>No Discount</v>
      </c>
      <c r="Y140" s="25">
        <f t="shared" si="7"/>
        <v>45474</v>
      </c>
      <c r="Z140">
        <f t="shared" si="8"/>
        <v>2024</v>
      </c>
    </row>
    <row r="141" spans="1:26" x14ac:dyDescent="0.3">
      <c r="A141" t="s">
        <v>414</v>
      </c>
      <c r="B141" s="4" t="s">
        <v>413</v>
      </c>
      <c r="C141" t="s">
        <v>143</v>
      </c>
      <c r="D141" t="s">
        <v>144</v>
      </c>
      <c r="E141" t="s">
        <v>52</v>
      </c>
      <c r="F141" t="s">
        <v>44</v>
      </c>
      <c r="G141" t="s">
        <v>216</v>
      </c>
      <c r="H141" t="s">
        <v>316</v>
      </c>
      <c r="I141" t="s">
        <v>47</v>
      </c>
      <c r="J141" t="s">
        <v>119</v>
      </c>
      <c r="K141" t="s">
        <v>120</v>
      </c>
      <c r="L141" s="8">
        <v>5</v>
      </c>
      <c r="M141" s="12">
        <v>1800</v>
      </c>
      <c r="N141" s="10">
        <v>0</v>
      </c>
      <c r="O141" s="12">
        <v>9000</v>
      </c>
      <c r="P141" s="12">
        <v>2388.19</v>
      </c>
      <c r="Q141" s="12">
        <v>118.99</v>
      </c>
      <c r="R141" t="s">
        <v>64</v>
      </c>
      <c r="U141" s="12">
        <f>Table2[[#This Row],[Quantity]]*Table2[[#This Row],[Unit_Price]]*(1-Table2[[#This Row],[ Discount]])</f>
        <v>9000</v>
      </c>
      <c r="V141" s="10">
        <f>Table2[[#This Row],[Profit]]/Table2[[#This Row],[Sales_Amount]]</f>
        <v>0.26535444444444445</v>
      </c>
      <c r="W141" t="str">
        <f>IF(Table2[[#This Row],[Sales_Amount]]&gt;10000,"High Value","Normal")</f>
        <v>Normal</v>
      </c>
      <c r="X141" t="str">
        <f t="shared" si="6"/>
        <v>No Discount</v>
      </c>
      <c r="Y141" s="25">
        <f t="shared" si="7"/>
        <v>45474</v>
      </c>
      <c r="Z141">
        <f t="shared" si="8"/>
        <v>2024</v>
      </c>
    </row>
    <row r="142" spans="1:26" x14ac:dyDescent="0.3">
      <c r="A142" t="s">
        <v>415</v>
      </c>
      <c r="B142" s="4" t="s">
        <v>416</v>
      </c>
      <c r="C142" t="s">
        <v>178</v>
      </c>
      <c r="D142" t="s">
        <v>179</v>
      </c>
      <c r="E142" t="s">
        <v>67</v>
      </c>
      <c r="F142" t="s">
        <v>44</v>
      </c>
      <c r="G142" t="s">
        <v>192</v>
      </c>
      <c r="H142" t="s">
        <v>201</v>
      </c>
      <c r="I142" t="s">
        <v>36</v>
      </c>
      <c r="J142" t="s">
        <v>113</v>
      </c>
      <c r="K142" t="s">
        <v>262</v>
      </c>
      <c r="L142" s="8">
        <v>3</v>
      </c>
      <c r="M142" s="12">
        <v>2500</v>
      </c>
      <c r="N142" s="10">
        <v>0</v>
      </c>
      <c r="O142" s="12">
        <v>7500</v>
      </c>
      <c r="P142" s="12">
        <v>1624.06</v>
      </c>
      <c r="Q142" s="12">
        <v>139</v>
      </c>
      <c r="R142" t="s">
        <v>64</v>
      </c>
      <c r="U142" s="12">
        <f>Table2[[#This Row],[Quantity]]*Table2[[#This Row],[Unit_Price]]*(1-Table2[[#This Row],[ Discount]])</f>
        <v>7500</v>
      </c>
      <c r="V142" s="10">
        <f>Table2[[#This Row],[Profit]]/Table2[[#This Row],[Sales_Amount]]</f>
        <v>0.21654133333333334</v>
      </c>
      <c r="W142" t="str">
        <f>IF(Table2[[#This Row],[Sales_Amount]]&gt;10000,"High Value","Normal")</f>
        <v>Normal</v>
      </c>
      <c r="X142" t="str">
        <f t="shared" si="6"/>
        <v>No Discount</v>
      </c>
      <c r="Y142" s="25">
        <f t="shared" si="7"/>
        <v>45474</v>
      </c>
      <c r="Z142">
        <f t="shared" si="8"/>
        <v>2024</v>
      </c>
    </row>
    <row r="143" spans="1:26" x14ac:dyDescent="0.3">
      <c r="A143" t="s">
        <v>417</v>
      </c>
      <c r="B143" s="4" t="s">
        <v>418</v>
      </c>
      <c r="C143" t="s">
        <v>122</v>
      </c>
      <c r="D143" t="s">
        <v>123</v>
      </c>
      <c r="E143" t="s">
        <v>22</v>
      </c>
      <c r="F143" t="s">
        <v>44</v>
      </c>
      <c r="G143" t="s">
        <v>192</v>
      </c>
      <c r="H143" t="s">
        <v>271</v>
      </c>
      <c r="I143" t="s">
        <v>26</v>
      </c>
      <c r="J143" t="s">
        <v>69</v>
      </c>
      <c r="K143" t="s">
        <v>70</v>
      </c>
      <c r="L143" s="8">
        <v>3</v>
      </c>
      <c r="M143" s="12">
        <v>45000</v>
      </c>
      <c r="N143" s="10">
        <v>0</v>
      </c>
      <c r="O143" s="12">
        <v>135000</v>
      </c>
      <c r="P143" s="12">
        <v>21433.97</v>
      </c>
      <c r="Q143" s="12">
        <v>354.7</v>
      </c>
      <c r="R143" t="s">
        <v>57</v>
      </c>
      <c r="U143" s="12">
        <f>Table2[[#This Row],[Quantity]]*Table2[[#This Row],[Unit_Price]]*(1-Table2[[#This Row],[ Discount]])</f>
        <v>135000</v>
      </c>
      <c r="V143" s="10">
        <f>Table2[[#This Row],[Profit]]/Table2[[#This Row],[Sales_Amount]]</f>
        <v>0.15877014814814816</v>
      </c>
      <c r="W143" t="str">
        <f>IF(Table2[[#This Row],[Sales_Amount]]&gt;10000,"High Value","Normal")</f>
        <v>High Value</v>
      </c>
      <c r="X143" t="str">
        <f t="shared" si="6"/>
        <v>No Discount</v>
      </c>
      <c r="Y143" s="25">
        <f t="shared" si="7"/>
        <v>45474</v>
      </c>
      <c r="Z143">
        <f t="shared" si="8"/>
        <v>2024</v>
      </c>
    </row>
    <row r="144" spans="1:26" x14ac:dyDescent="0.3">
      <c r="A144" t="s">
        <v>419</v>
      </c>
      <c r="B144" s="4" t="s">
        <v>420</v>
      </c>
      <c r="C144" t="s">
        <v>89</v>
      </c>
      <c r="D144" t="s">
        <v>90</v>
      </c>
      <c r="E144" t="s">
        <v>67</v>
      </c>
      <c r="F144" t="s">
        <v>53</v>
      </c>
      <c r="G144" t="s">
        <v>54</v>
      </c>
      <c r="H144" t="s">
        <v>112</v>
      </c>
      <c r="I144" t="s">
        <v>26</v>
      </c>
      <c r="J144" t="s">
        <v>69</v>
      </c>
      <c r="K144" t="s">
        <v>131</v>
      </c>
      <c r="L144" s="8">
        <v>5</v>
      </c>
      <c r="M144" s="12">
        <v>115000</v>
      </c>
      <c r="N144" s="10">
        <v>0.05</v>
      </c>
      <c r="O144" s="12">
        <v>546250</v>
      </c>
      <c r="P144" s="12">
        <v>100289.35</v>
      </c>
      <c r="Q144" s="12">
        <v>359.04</v>
      </c>
      <c r="R144" t="s">
        <v>57</v>
      </c>
      <c r="U144" s="12">
        <f>Table2[[#This Row],[Quantity]]*Table2[[#This Row],[Unit_Price]]*(1-Table2[[#This Row],[ Discount]])</f>
        <v>546250</v>
      </c>
      <c r="V144" s="10">
        <f>Table2[[#This Row],[Profit]]/Table2[[#This Row],[Sales_Amount]]</f>
        <v>0.18359606407322657</v>
      </c>
      <c r="W144" t="str">
        <f>IF(Table2[[#This Row],[Sales_Amount]]&gt;10000,"High Value","Normal")</f>
        <v>High Value</v>
      </c>
      <c r="X144" t="str">
        <f t="shared" si="6"/>
        <v>Low</v>
      </c>
      <c r="Y144" s="25">
        <f t="shared" si="7"/>
        <v>45474</v>
      </c>
      <c r="Z144">
        <f t="shared" si="8"/>
        <v>2024</v>
      </c>
    </row>
    <row r="145" spans="1:26" x14ac:dyDescent="0.3">
      <c r="A145" t="s">
        <v>421</v>
      </c>
      <c r="B145" s="4" t="s">
        <v>411</v>
      </c>
      <c r="C145" t="s">
        <v>89</v>
      </c>
      <c r="D145" t="s">
        <v>90</v>
      </c>
      <c r="E145" t="s">
        <v>52</v>
      </c>
      <c r="F145" t="s">
        <v>44</v>
      </c>
      <c r="G145" t="s">
        <v>45</v>
      </c>
      <c r="H145" t="s">
        <v>198</v>
      </c>
      <c r="I145" t="s">
        <v>36</v>
      </c>
      <c r="J145" t="s">
        <v>113</v>
      </c>
      <c r="K145" t="s">
        <v>114</v>
      </c>
      <c r="L145" s="8">
        <v>5</v>
      </c>
      <c r="M145" s="12">
        <v>600</v>
      </c>
      <c r="N145" s="10">
        <v>0.05</v>
      </c>
      <c r="O145" s="12">
        <v>2850</v>
      </c>
      <c r="P145" s="12">
        <v>572.76</v>
      </c>
      <c r="Q145" s="12">
        <v>265.64999999999998</v>
      </c>
      <c r="R145" t="s">
        <v>29</v>
      </c>
      <c r="U145" s="12">
        <f>Table2[[#This Row],[Quantity]]*Table2[[#This Row],[Unit_Price]]*(1-Table2[[#This Row],[ Discount]])</f>
        <v>2850</v>
      </c>
      <c r="V145" s="10">
        <f>Table2[[#This Row],[Profit]]/Table2[[#This Row],[Sales_Amount]]</f>
        <v>0.20096842105263157</v>
      </c>
      <c r="W145" t="str">
        <f>IF(Table2[[#This Row],[Sales_Amount]]&gt;10000,"High Value","Normal")</f>
        <v>Normal</v>
      </c>
      <c r="X145" t="str">
        <f t="shared" si="6"/>
        <v>Low</v>
      </c>
      <c r="Y145" s="25">
        <f t="shared" si="7"/>
        <v>45474</v>
      </c>
      <c r="Z145">
        <f t="shared" si="8"/>
        <v>2024</v>
      </c>
    </row>
    <row r="146" spans="1:26" x14ac:dyDescent="0.3">
      <c r="A146" t="s">
        <v>422</v>
      </c>
      <c r="B146" s="4" t="s">
        <v>423</v>
      </c>
      <c r="C146" t="s">
        <v>42</v>
      </c>
      <c r="D146" t="s">
        <v>43</v>
      </c>
      <c r="E146" t="s">
        <v>22</v>
      </c>
      <c r="F146" t="s">
        <v>106</v>
      </c>
      <c r="G146" t="s">
        <v>149</v>
      </c>
      <c r="H146" t="s">
        <v>150</v>
      </c>
      <c r="I146" t="s">
        <v>26</v>
      </c>
      <c r="J146" t="s">
        <v>27</v>
      </c>
      <c r="K146" t="s">
        <v>56</v>
      </c>
      <c r="L146" s="8">
        <v>1</v>
      </c>
      <c r="M146" s="12">
        <v>55000</v>
      </c>
      <c r="N146" s="10">
        <v>0.1</v>
      </c>
      <c r="O146" s="12">
        <v>49500</v>
      </c>
      <c r="P146" s="12">
        <v>7109.43</v>
      </c>
      <c r="Q146" s="12">
        <v>192.67</v>
      </c>
      <c r="R146" t="s">
        <v>57</v>
      </c>
      <c r="U146" s="12">
        <f>Table2[[#This Row],[Quantity]]*Table2[[#This Row],[Unit_Price]]*(1-Table2[[#This Row],[ Discount]])</f>
        <v>49500</v>
      </c>
      <c r="V146" s="10">
        <f>Table2[[#This Row],[Profit]]/Table2[[#This Row],[Sales_Amount]]</f>
        <v>0.14362484848484849</v>
      </c>
      <c r="W146" t="str">
        <f>IF(Table2[[#This Row],[Sales_Amount]]&gt;10000,"High Value","Normal")</f>
        <v>High Value</v>
      </c>
      <c r="X146" t="str">
        <f t="shared" si="6"/>
        <v>Medium</v>
      </c>
      <c r="Y146" s="25">
        <f t="shared" si="7"/>
        <v>45474</v>
      </c>
      <c r="Z146">
        <f t="shared" si="8"/>
        <v>2024</v>
      </c>
    </row>
    <row r="147" spans="1:26" x14ac:dyDescent="0.3">
      <c r="A147" t="s">
        <v>424</v>
      </c>
      <c r="B147" s="4" t="s">
        <v>425</v>
      </c>
      <c r="C147" t="s">
        <v>32</v>
      </c>
      <c r="D147" t="s">
        <v>33</v>
      </c>
      <c r="E147" t="s">
        <v>52</v>
      </c>
      <c r="F147" t="s">
        <v>53</v>
      </c>
      <c r="G147" t="s">
        <v>54</v>
      </c>
      <c r="H147" t="s">
        <v>112</v>
      </c>
      <c r="I147" t="s">
        <v>36</v>
      </c>
      <c r="J147" t="s">
        <v>113</v>
      </c>
      <c r="K147" t="s">
        <v>114</v>
      </c>
      <c r="L147" s="8">
        <v>4</v>
      </c>
      <c r="M147" s="12">
        <v>600</v>
      </c>
      <c r="N147" s="10">
        <v>0</v>
      </c>
      <c r="O147" s="12">
        <v>2400</v>
      </c>
      <c r="P147" s="12">
        <v>646.70000000000005</v>
      </c>
      <c r="Q147" s="12">
        <v>369.72</v>
      </c>
      <c r="R147" t="s">
        <v>57</v>
      </c>
      <c r="U147" s="12">
        <f>Table2[[#This Row],[Quantity]]*Table2[[#This Row],[Unit_Price]]*(1-Table2[[#This Row],[ Discount]])</f>
        <v>2400</v>
      </c>
      <c r="V147" s="10">
        <f>Table2[[#This Row],[Profit]]/Table2[[#This Row],[Sales_Amount]]</f>
        <v>0.26945833333333336</v>
      </c>
      <c r="W147" t="str">
        <f>IF(Table2[[#This Row],[Sales_Amount]]&gt;10000,"High Value","Normal")</f>
        <v>Normal</v>
      </c>
      <c r="X147" t="str">
        <f t="shared" si="6"/>
        <v>No Discount</v>
      </c>
      <c r="Y147" s="25">
        <f t="shared" si="7"/>
        <v>45474</v>
      </c>
      <c r="Z147">
        <f t="shared" si="8"/>
        <v>2024</v>
      </c>
    </row>
    <row r="148" spans="1:26" x14ac:dyDescent="0.3">
      <c r="A148" t="s">
        <v>426</v>
      </c>
      <c r="B148" s="4" t="s">
        <v>418</v>
      </c>
      <c r="C148" t="s">
        <v>104</v>
      </c>
      <c r="D148" t="s">
        <v>105</v>
      </c>
      <c r="E148" t="s">
        <v>52</v>
      </c>
      <c r="F148" t="s">
        <v>53</v>
      </c>
      <c r="G148" t="s">
        <v>83</v>
      </c>
      <c r="H148" t="s">
        <v>251</v>
      </c>
      <c r="I148" t="s">
        <v>47</v>
      </c>
      <c r="J148" t="s">
        <v>48</v>
      </c>
      <c r="K148" t="s">
        <v>196</v>
      </c>
      <c r="L148" s="8">
        <v>2</v>
      </c>
      <c r="M148" s="12">
        <v>2500</v>
      </c>
      <c r="N148" s="10">
        <v>0.2</v>
      </c>
      <c r="O148" s="12">
        <v>4000</v>
      </c>
      <c r="P148" s="12">
        <v>338.1</v>
      </c>
      <c r="Q148" s="12">
        <v>177.91</v>
      </c>
      <c r="R148" t="s">
        <v>64</v>
      </c>
      <c r="U148" s="12">
        <f>Table2[[#This Row],[Quantity]]*Table2[[#This Row],[Unit_Price]]*(1-Table2[[#This Row],[ Discount]])</f>
        <v>4000</v>
      </c>
      <c r="V148" s="10">
        <f>Table2[[#This Row],[Profit]]/Table2[[#This Row],[Sales_Amount]]</f>
        <v>8.4525000000000003E-2</v>
      </c>
      <c r="W148" t="str">
        <f>IF(Table2[[#This Row],[Sales_Amount]]&gt;10000,"High Value","Normal")</f>
        <v>Normal</v>
      </c>
      <c r="X148" t="str">
        <f t="shared" si="6"/>
        <v>High</v>
      </c>
      <c r="Y148" s="25">
        <f t="shared" si="7"/>
        <v>45474</v>
      </c>
      <c r="Z148">
        <f t="shared" si="8"/>
        <v>2024</v>
      </c>
    </row>
    <row r="149" spans="1:26" x14ac:dyDescent="0.3">
      <c r="A149" t="s">
        <v>427</v>
      </c>
      <c r="B149" s="4" t="s">
        <v>428</v>
      </c>
      <c r="C149" t="s">
        <v>162</v>
      </c>
      <c r="D149" t="s">
        <v>163</v>
      </c>
      <c r="E149" t="s">
        <v>52</v>
      </c>
      <c r="F149" t="s">
        <v>106</v>
      </c>
      <c r="G149" t="s">
        <v>107</v>
      </c>
      <c r="H149" t="s">
        <v>139</v>
      </c>
      <c r="I149" t="s">
        <v>36</v>
      </c>
      <c r="J149" t="s">
        <v>113</v>
      </c>
      <c r="K149" t="s">
        <v>114</v>
      </c>
      <c r="L149" s="8">
        <v>4</v>
      </c>
      <c r="M149" s="12">
        <v>600</v>
      </c>
      <c r="N149" s="10">
        <v>0</v>
      </c>
      <c r="O149" s="12">
        <v>2400</v>
      </c>
      <c r="P149" s="12">
        <v>547.66999999999996</v>
      </c>
      <c r="Q149" s="12">
        <v>87.1</v>
      </c>
      <c r="R149" t="s">
        <v>57</v>
      </c>
      <c r="U149" s="12">
        <f>Table2[[#This Row],[Quantity]]*Table2[[#This Row],[Unit_Price]]*(1-Table2[[#This Row],[ Discount]])</f>
        <v>2400</v>
      </c>
      <c r="V149" s="10">
        <f>Table2[[#This Row],[Profit]]/Table2[[#This Row],[Sales_Amount]]</f>
        <v>0.22819583333333332</v>
      </c>
      <c r="W149" t="str">
        <f>IF(Table2[[#This Row],[Sales_Amount]]&gt;10000,"High Value","Normal")</f>
        <v>Normal</v>
      </c>
      <c r="X149" t="str">
        <f t="shared" si="6"/>
        <v>No Discount</v>
      </c>
      <c r="Y149" s="25">
        <f t="shared" si="7"/>
        <v>45474</v>
      </c>
      <c r="Z149">
        <f t="shared" si="8"/>
        <v>2024</v>
      </c>
    </row>
    <row r="150" spans="1:26" x14ac:dyDescent="0.3">
      <c r="A150" t="s">
        <v>429</v>
      </c>
      <c r="B150" s="4" t="s">
        <v>430</v>
      </c>
      <c r="C150" t="s">
        <v>117</v>
      </c>
      <c r="D150" t="s">
        <v>118</v>
      </c>
      <c r="E150" t="s">
        <v>52</v>
      </c>
      <c r="F150" t="s">
        <v>44</v>
      </c>
      <c r="G150" t="s">
        <v>192</v>
      </c>
      <c r="H150" t="s">
        <v>271</v>
      </c>
      <c r="I150" t="s">
        <v>36</v>
      </c>
      <c r="J150" t="s">
        <v>113</v>
      </c>
      <c r="K150" t="s">
        <v>262</v>
      </c>
      <c r="L150" s="8">
        <v>1</v>
      </c>
      <c r="M150" s="12">
        <v>2500</v>
      </c>
      <c r="N150" s="10">
        <v>0.2</v>
      </c>
      <c r="O150" s="12">
        <v>2000</v>
      </c>
      <c r="P150" s="12">
        <v>310.19</v>
      </c>
      <c r="Q150" s="12">
        <v>304.23</v>
      </c>
      <c r="R150" t="s">
        <v>64</v>
      </c>
      <c r="U150" s="12">
        <f>Table2[[#This Row],[Quantity]]*Table2[[#This Row],[Unit_Price]]*(1-Table2[[#This Row],[ Discount]])</f>
        <v>2000</v>
      </c>
      <c r="V150" s="10">
        <f>Table2[[#This Row],[Profit]]/Table2[[#This Row],[Sales_Amount]]</f>
        <v>0.15509500000000001</v>
      </c>
      <c r="W150" t="str">
        <f>IF(Table2[[#This Row],[Sales_Amount]]&gt;10000,"High Value","Normal")</f>
        <v>Normal</v>
      </c>
      <c r="X150" t="str">
        <f t="shared" si="6"/>
        <v>High</v>
      </c>
      <c r="Y150" s="25">
        <f t="shared" si="7"/>
        <v>45474</v>
      </c>
      <c r="Z150">
        <f t="shared" si="8"/>
        <v>2024</v>
      </c>
    </row>
    <row r="151" spans="1:26" x14ac:dyDescent="0.3">
      <c r="A151" t="s">
        <v>431</v>
      </c>
      <c r="B151" s="4" t="s">
        <v>432</v>
      </c>
      <c r="C151" t="s">
        <v>60</v>
      </c>
      <c r="D151" t="s">
        <v>61</v>
      </c>
      <c r="E151" t="s">
        <v>52</v>
      </c>
      <c r="F151" t="s">
        <v>23</v>
      </c>
      <c r="G151" t="s">
        <v>34</v>
      </c>
      <c r="H151" t="s">
        <v>35</v>
      </c>
      <c r="I151" t="s">
        <v>26</v>
      </c>
      <c r="J151" t="s">
        <v>91</v>
      </c>
      <c r="K151" t="s">
        <v>153</v>
      </c>
      <c r="L151" s="8">
        <v>4</v>
      </c>
      <c r="M151" s="12">
        <v>800</v>
      </c>
      <c r="N151" s="10">
        <v>0</v>
      </c>
      <c r="O151" s="12">
        <v>3200</v>
      </c>
      <c r="P151" s="12">
        <v>404.54</v>
      </c>
      <c r="Q151" s="12">
        <v>358.42</v>
      </c>
      <c r="R151" t="s">
        <v>57</v>
      </c>
      <c r="U151" s="12">
        <f>Table2[[#This Row],[Quantity]]*Table2[[#This Row],[Unit_Price]]*(1-Table2[[#This Row],[ Discount]])</f>
        <v>3200</v>
      </c>
      <c r="V151" s="10">
        <f>Table2[[#This Row],[Profit]]/Table2[[#This Row],[Sales_Amount]]</f>
        <v>0.12641875</v>
      </c>
      <c r="W151" t="str">
        <f>IF(Table2[[#This Row],[Sales_Amount]]&gt;10000,"High Value","Normal")</f>
        <v>Normal</v>
      </c>
      <c r="X151" t="str">
        <f t="shared" si="6"/>
        <v>No Discount</v>
      </c>
      <c r="Y151" s="25">
        <f t="shared" si="7"/>
        <v>45474</v>
      </c>
      <c r="Z151">
        <f t="shared" si="8"/>
        <v>2024</v>
      </c>
    </row>
    <row r="152" spans="1:26" x14ac:dyDescent="0.3">
      <c r="A152" t="s">
        <v>433</v>
      </c>
      <c r="B152" s="4" t="s">
        <v>432</v>
      </c>
      <c r="C152" t="s">
        <v>32</v>
      </c>
      <c r="D152" t="s">
        <v>33</v>
      </c>
      <c r="E152" t="s">
        <v>67</v>
      </c>
      <c r="F152" t="s">
        <v>44</v>
      </c>
      <c r="G152" t="s">
        <v>45</v>
      </c>
      <c r="H152" t="s">
        <v>124</v>
      </c>
      <c r="I152" t="s">
        <v>26</v>
      </c>
      <c r="J152" t="s">
        <v>27</v>
      </c>
      <c r="K152" t="s">
        <v>76</v>
      </c>
      <c r="L152" s="8">
        <v>5</v>
      </c>
      <c r="M152" s="12">
        <v>75000</v>
      </c>
      <c r="N152" s="10">
        <v>0</v>
      </c>
      <c r="O152" s="12">
        <v>375000</v>
      </c>
      <c r="P152" s="12">
        <v>54261.65</v>
      </c>
      <c r="Q152" s="12">
        <v>193.36</v>
      </c>
      <c r="R152" t="s">
        <v>64</v>
      </c>
      <c r="U152" s="12">
        <f>Table2[[#This Row],[Quantity]]*Table2[[#This Row],[Unit_Price]]*(1-Table2[[#This Row],[ Discount]])</f>
        <v>375000</v>
      </c>
      <c r="V152" s="10">
        <f>Table2[[#This Row],[Profit]]/Table2[[#This Row],[Sales_Amount]]</f>
        <v>0.14469773333333333</v>
      </c>
      <c r="W152" t="str">
        <f>IF(Table2[[#This Row],[Sales_Amount]]&gt;10000,"High Value","Normal")</f>
        <v>High Value</v>
      </c>
      <c r="X152" t="str">
        <f t="shared" si="6"/>
        <v>No Discount</v>
      </c>
      <c r="Y152" s="25">
        <f t="shared" si="7"/>
        <v>45474</v>
      </c>
      <c r="Z152">
        <f t="shared" si="8"/>
        <v>2024</v>
      </c>
    </row>
    <row r="153" spans="1:26" x14ac:dyDescent="0.3">
      <c r="A153" t="s">
        <v>434</v>
      </c>
      <c r="B153" s="4" t="s">
        <v>435</v>
      </c>
      <c r="C153" t="s">
        <v>143</v>
      </c>
      <c r="D153" t="s">
        <v>144</v>
      </c>
      <c r="E153" t="s">
        <v>67</v>
      </c>
      <c r="F153" t="s">
        <v>44</v>
      </c>
      <c r="G153" t="s">
        <v>192</v>
      </c>
      <c r="H153" t="s">
        <v>271</v>
      </c>
      <c r="I153" t="s">
        <v>26</v>
      </c>
      <c r="J153" t="s">
        <v>27</v>
      </c>
      <c r="K153" t="s">
        <v>76</v>
      </c>
      <c r="L153" s="8">
        <v>1</v>
      </c>
      <c r="M153" s="12">
        <v>75000</v>
      </c>
      <c r="N153" s="10">
        <v>0</v>
      </c>
      <c r="O153" s="12">
        <v>75000</v>
      </c>
      <c r="P153" s="12">
        <v>13206.77</v>
      </c>
      <c r="Q153" s="12">
        <v>450.39</v>
      </c>
      <c r="R153" t="s">
        <v>29</v>
      </c>
      <c r="U153" s="12">
        <f>Table2[[#This Row],[Quantity]]*Table2[[#This Row],[Unit_Price]]*(1-Table2[[#This Row],[ Discount]])</f>
        <v>75000</v>
      </c>
      <c r="V153" s="10">
        <f>Table2[[#This Row],[Profit]]/Table2[[#This Row],[Sales_Amount]]</f>
        <v>0.17609026666666666</v>
      </c>
      <c r="W153" t="str">
        <f>IF(Table2[[#This Row],[Sales_Amount]]&gt;10000,"High Value","Normal")</f>
        <v>High Value</v>
      </c>
      <c r="X153" t="str">
        <f t="shared" si="6"/>
        <v>No Discount</v>
      </c>
      <c r="Y153" s="25">
        <f t="shared" si="7"/>
        <v>45474</v>
      </c>
      <c r="Z153">
        <f t="shared" si="8"/>
        <v>2024</v>
      </c>
    </row>
    <row r="154" spans="1:26" x14ac:dyDescent="0.3">
      <c r="A154" t="s">
        <v>436</v>
      </c>
      <c r="B154" s="4" t="s">
        <v>437</v>
      </c>
      <c r="C154" t="s">
        <v>32</v>
      </c>
      <c r="D154" t="s">
        <v>33</v>
      </c>
      <c r="E154" t="s">
        <v>22</v>
      </c>
      <c r="F154" t="s">
        <v>53</v>
      </c>
      <c r="G154" t="s">
        <v>100</v>
      </c>
      <c r="H154" t="s">
        <v>101</v>
      </c>
      <c r="I154" t="s">
        <v>47</v>
      </c>
      <c r="J154" t="s">
        <v>119</v>
      </c>
      <c r="K154" t="s">
        <v>310</v>
      </c>
      <c r="L154" s="8">
        <v>1</v>
      </c>
      <c r="M154" s="12">
        <v>1500</v>
      </c>
      <c r="N154" s="10">
        <v>0</v>
      </c>
      <c r="O154" s="12">
        <v>1500</v>
      </c>
      <c r="P154" s="12">
        <v>362.81</v>
      </c>
      <c r="Q154" s="12">
        <v>145.87</v>
      </c>
      <c r="R154" t="s">
        <v>29</v>
      </c>
      <c r="U154" s="12">
        <f>Table2[[#This Row],[Quantity]]*Table2[[#This Row],[Unit_Price]]*(1-Table2[[#This Row],[ Discount]])</f>
        <v>1500</v>
      </c>
      <c r="V154" s="10">
        <f>Table2[[#This Row],[Profit]]/Table2[[#This Row],[Sales_Amount]]</f>
        <v>0.24187333333333333</v>
      </c>
      <c r="W154" t="str">
        <f>IF(Table2[[#This Row],[Sales_Amount]]&gt;10000,"High Value","Normal")</f>
        <v>Normal</v>
      </c>
      <c r="X154" t="str">
        <f t="shared" si="6"/>
        <v>No Discount</v>
      </c>
      <c r="Y154" s="25">
        <f t="shared" si="7"/>
        <v>45474</v>
      </c>
      <c r="Z154">
        <f t="shared" si="8"/>
        <v>2024</v>
      </c>
    </row>
    <row r="155" spans="1:26" x14ac:dyDescent="0.3">
      <c r="A155" t="s">
        <v>438</v>
      </c>
      <c r="B155" s="4" t="s">
        <v>413</v>
      </c>
      <c r="C155" t="s">
        <v>117</v>
      </c>
      <c r="D155" t="s">
        <v>118</v>
      </c>
      <c r="E155" t="s">
        <v>22</v>
      </c>
      <c r="F155" t="s">
        <v>106</v>
      </c>
      <c r="G155" t="s">
        <v>149</v>
      </c>
      <c r="H155" t="s">
        <v>150</v>
      </c>
      <c r="I155" t="s">
        <v>36</v>
      </c>
      <c r="J155" t="s">
        <v>140</v>
      </c>
      <c r="K155" t="s">
        <v>141</v>
      </c>
      <c r="L155" s="8">
        <v>1</v>
      </c>
      <c r="M155" s="12">
        <v>2200</v>
      </c>
      <c r="N155" s="10">
        <v>0</v>
      </c>
      <c r="O155" s="12">
        <v>2200</v>
      </c>
      <c r="P155" s="12">
        <v>539.27</v>
      </c>
      <c r="Q155" s="12">
        <v>477.28</v>
      </c>
      <c r="R155" t="s">
        <v>39</v>
      </c>
      <c r="U155" s="12">
        <f>Table2[[#This Row],[Quantity]]*Table2[[#This Row],[Unit_Price]]*(1-Table2[[#This Row],[ Discount]])</f>
        <v>2200</v>
      </c>
      <c r="V155" s="10">
        <f>Table2[[#This Row],[Profit]]/Table2[[#This Row],[Sales_Amount]]</f>
        <v>0.24512272727272727</v>
      </c>
      <c r="W155" t="str">
        <f>IF(Table2[[#This Row],[Sales_Amount]]&gt;10000,"High Value","Normal")</f>
        <v>Normal</v>
      </c>
      <c r="X155" t="str">
        <f t="shared" si="6"/>
        <v>No Discount</v>
      </c>
      <c r="Y155" s="25">
        <f t="shared" si="7"/>
        <v>45474</v>
      </c>
      <c r="Z155">
        <f t="shared" si="8"/>
        <v>2024</v>
      </c>
    </row>
    <row r="156" spans="1:26" x14ac:dyDescent="0.3">
      <c r="A156" t="s">
        <v>439</v>
      </c>
      <c r="B156" s="4" t="s">
        <v>440</v>
      </c>
      <c r="C156" t="s">
        <v>32</v>
      </c>
      <c r="D156" t="s">
        <v>33</v>
      </c>
      <c r="E156" t="s">
        <v>67</v>
      </c>
      <c r="F156" t="s">
        <v>23</v>
      </c>
      <c r="G156" t="s">
        <v>34</v>
      </c>
      <c r="H156" t="s">
        <v>35</v>
      </c>
      <c r="I156" t="s">
        <v>47</v>
      </c>
      <c r="J156" t="s">
        <v>48</v>
      </c>
      <c r="K156" t="s">
        <v>196</v>
      </c>
      <c r="L156" s="8">
        <v>3</v>
      </c>
      <c r="M156" s="12">
        <v>2500</v>
      </c>
      <c r="N156" s="10">
        <v>0</v>
      </c>
      <c r="O156" s="12">
        <v>7500</v>
      </c>
      <c r="P156" s="12">
        <v>1529.61</v>
      </c>
      <c r="Q156" s="12">
        <v>230.01</v>
      </c>
      <c r="R156" t="s">
        <v>57</v>
      </c>
      <c r="U156" s="12">
        <f>Table2[[#This Row],[Quantity]]*Table2[[#This Row],[Unit_Price]]*(1-Table2[[#This Row],[ Discount]])</f>
        <v>7500</v>
      </c>
      <c r="V156" s="10">
        <f>Table2[[#This Row],[Profit]]/Table2[[#This Row],[Sales_Amount]]</f>
        <v>0.20394799999999999</v>
      </c>
      <c r="W156" t="str">
        <f>IF(Table2[[#This Row],[Sales_Amount]]&gt;10000,"High Value","Normal")</f>
        <v>Normal</v>
      </c>
      <c r="X156" t="str">
        <f t="shared" si="6"/>
        <v>No Discount</v>
      </c>
      <c r="Y156" s="25">
        <f t="shared" si="7"/>
        <v>45474</v>
      </c>
      <c r="Z156">
        <f t="shared" si="8"/>
        <v>2024</v>
      </c>
    </row>
    <row r="157" spans="1:26" x14ac:dyDescent="0.3">
      <c r="A157" t="s">
        <v>441</v>
      </c>
      <c r="B157" s="4" t="s">
        <v>435</v>
      </c>
      <c r="C157" t="s">
        <v>20</v>
      </c>
      <c r="D157" t="s">
        <v>21</v>
      </c>
      <c r="E157" t="s">
        <v>67</v>
      </c>
      <c r="F157" t="s">
        <v>53</v>
      </c>
      <c r="G157" t="s">
        <v>54</v>
      </c>
      <c r="H157" t="s">
        <v>55</v>
      </c>
      <c r="I157" t="s">
        <v>47</v>
      </c>
      <c r="J157" t="s">
        <v>119</v>
      </c>
      <c r="K157" t="s">
        <v>173</v>
      </c>
      <c r="L157" s="8">
        <v>2</v>
      </c>
      <c r="M157" s="12">
        <v>1000</v>
      </c>
      <c r="N157" s="10">
        <v>0.1</v>
      </c>
      <c r="O157" s="12">
        <v>1800</v>
      </c>
      <c r="P157" s="12">
        <v>483.19</v>
      </c>
      <c r="Q157" s="12">
        <v>214.33</v>
      </c>
      <c r="R157" t="s">
        <v>57</v>
      </c>
      <c r="U157" s="12">
        <f>Table2[[#This Row],[Quantity]]*Table2[[#This Row],[Unit_Price]]*(1-Table2[[#This Row],[ Discount]])</f>
        <v>1800</v>
      </c>
      <c r="V157" s="10">
        <f>Table2[[#This Row],[Profit]]/Table2[[#This Row],[Sales_Amount]]</f>
        <v>0.26843888888888889</v>
      </c>
      <c r="W157" t="str">
        <f>IF(Table2[[#This Row],[Sales_Amount]]&gt;10000,"High Value","Normal")</f>
        <v>Normal</v>
      </c>
      <c r="X157" t="str">
        <f t="shared" si="6"/>
        <v>Medium</v>
      </c>
      <c r="Y157" s="25">
        <f t="shared" si="7"/>
        <v>45474</v>
      </c>
      <c r="Z157">
        <f t="shared" si="8"/>
        <v>2024</v>
      </c>
    </row>
    <row r="158" spans="1:26" x14ac:dyDescent="0.3">
      <c r="A158" t="s">
        <v>442</v>
      </c>
      <c r="B158" s="4" t="s">
        <v>443</v>
      </c>
      <c r="C158" t="s">
        <v>143</v>
      </c>
      <c r="D158" t="s">
        <v>144</v>
      </c>
      <c r="E158" t="s">
        <v>52</v>
      </c>
      <c r="F158" t="s">
        <v>44</v>
      </c>
      <c r="G158" t="s">
        <v>216</v>
      </c>
      <c r="H158" t="s">
        <v>316</v>
      </c>
      <c r="I158" t="s">
        <v>36</v>
      </c>
      <c r="J158" t="s">
        <v>140</v>
      </c>
      <c r="K158" t="s">
        <v>337</v>
      </c>
      <c r="L158" s="8">
        <v>4</v>
      </c>
      <c r="M158" s="12">
        <v>5500</v>
      </c>
      <c r="N158" s="10">
        <v>0</v>
      </c>
      <c r="O158" s="12">
        <v>22000</v>
      </c>
      <c r="P158" s="12">
        <v>5274.39</v>
      </c>
      <c r="Q158" s="12">
        <v>82.7</v>
      </c>
      <c r="R158" t="s">
        <v>64</v>
      </c>
      <c r="U158" s="12">
        <f>Table2[[#This Row],[Quantity]]*Table2[[#This Row],[Unit_Price]]*(1-Table2[[#This Row],[ Discount]])</f>
        <v>22000</v>
      </c>
      <c r="V158" s="10">
        <f>Table2[[#This Row],[Profit]]/Table2[[#This Row],[Sales_Amount]]</f>
        <v>0.23974500000000001</v>
      </c>
      <c r="W158" t="str">
        <f>IF(Table2[[#This Row],[Sales_Amount]]&gt;10000,"High Value","Normal")</f>
        <v>High Value</v>
      </c>
      <c r="X158" t="str">
        <f t="shared" si="6"/>
        <v>No Discount</v>
      </c>
      <c r="Y158" s="25">
        <f t="shared" si="7"/>
        <v>45474</v>
      </c>
      <c r="Z158">
        <f t="shared" si="8"/>
        <v>2024</v>
      </c>
    </row>
    <row r="159" spans="1:26" x14ac:dyDescent="0.3">
      <c r="A159" t="s">
        <v>444</v>
      </c>
      <c r="B159" s="4" t="s">
        <v>445</v>
      </c>
      <c r="C159" t="s">
        <v>143</v>
      </c>
      <c r="D159" t="s">
        <v>144</v>
      </c>
      <c r="E159" t="s">
        <v>67</v>
      </c>
      <c r="F159" t="s">
        <v>23</v>
      </c>
      <c r="G159" t="s">
        <v>34</v>
      </c>
      <c r="H159" t="s">
        <v>62</v>
      </c>
      <c r="I159" t="s">
        <v>47</v>
      </c>
      <c r="J159" t="s">
        <v>85</v>
      </c>
      <c r="K159" t="s">
        <v>289</v>
      </c>
      <c r="L159" s="8">
        <v>4</v>
      </c>
      <c r="M159" s="12">
        <v>2200</v>
      </c>
      <c r="N159" s="10">
        <v>0.1</v>
      </c>
      <c r="O159" s="12">
        <v>7920</v>
      </c>
      <c r="P159" s="12">
        <v>1601.21</v>
      </c>
      <c r="Q159" s="12">
        <v>396.9</v>
      </c>
      <c r="R159" t="s">
        <v>57</v>
      </c>
      <c r="U159" s="12">
        <f>Table2[[#This Row],[Quantity]]*Table2[[#This Row],[Unit_Price]]*(1-Table2[[#This Row],[ Discount]])</f>
        <v>7920</v>
      </c>
      <c r="V159" s="10">
        <f>Table2[[#This Row],[Profit]]/Table2[[#This Row],[Sales_Amount]]</f>
        <v>0.2021729797979798</v>
      </c>
      <c r="W159" t="str">
        <f>IF(Table2[[#This Row],[Sales_Amount]]&gt;10000,"High Value","Normal")</f>
        <v>Normal</v>
      </c>
      <c r="X159" t="str">
        <f t="shared" si="6"/>
        <v>Medium</v>
      </c>
      <c r="Y159" s="25">
        <f t="shared" si="7"/>
        <v>45474</v>
      </c>
      <c r="Z159">
        <f t="shared" si="8"/>
        <v>2024</v>
      </c>
    </row>
    <row r="160" spans="1:26" x14ac:dyDescent="0.3">
      <c r="A160" t="s">
        <v>446</v>
      </c>
      <c r="B160" s="4" t="s">
        <v>447</v>
      </c>
      <c r="C160" t="s">
        <v>78</v>
      </c>
      <c r="D160" t="s">
        <v>79</v>
      </c>
      <c r="E160" t="s">
        <v>52</v>
      </c>
      <c r="F160" t="s">
        <v>23</v>
      </c>
      <c r="G160" t="s">
        <v>74</v>
      </c>
      <c r="H160" t="s">
        <v>152</v>
      </c>
      <c r="I160" t="s">
        <v>47</v>
      </c>
      <c r="J160" t="s">
        <v>85</v>
      </c>
      <c r="K160" t="s">
        <v>284</v>
      </c>
      <c r="L160" s="8">
        <v>1</v>
      </c>
      <c r="M160" s="12">
        <v>900</v>
      </c>
      <c r="N160" s="10">
        <v>0</v>
      </c>
      <c r="O160" s="12">
        <v>900</v>
      </c>
      <c r="P160" s="12">
        <v>81.69</v>
      </c>
      <c r="Q160" s="12">
        <v>53.9</v>
      </c>
      <c r="R160" t="s">
        <v>57</v>
      </c>
      <c r="U160" s="12">
        <f>Table2[[#This Row],[Quantity]]*Table2[[#This Row],[Unit_Price]]*(1-Table2[[#This Row],[ Discount]])</f>
        <v>900</v>
      </c>
      <c r="V160" s="10">
        <f>Table2[[#This Row],[Profit]]/Table2[[#This Row],[Sales_Amount]]</f>
        <v>9.0766666666666662E-2</v>
      </c>
      <c r="W160" t="str">
        <f>IF(Table2[[#This Row],[Sales_Amount]]&gt;10000,"High Value","Normal")</f>
        <v>Normal</v>
      </c>
      <c r="X160" t="str">
        <f t="shared" si="6"/>
        <v>No Discount</v>
      </c>
      <c r="Y160" s="25">
        <f t="shared" si="7"/>
        <v>45474</v>
      </c>
      <c r="Z160">
        <f t="shared" si="8"/>
        <v>2024</v>
      </c>
    </row>
    <row r="161" spans="1:26" x14ac:dyDescent="0.3">
      <c r="A161" t="s">
        <v>448</v>
      </c>
      <c r="B161" s="4" t="s">
        <v>449</v>
      </c>
      <c r="C161" t="s">
        <v>147</v>
      </c>
      <c r="D161" t="s">
        <v>148</v>
      </c>
      <c r="E161" t="s">
        <v>22</v>
      </c>
      <c r="F161" t="s">
        <v>44</v>
      </c>
      <c r="G161" t="s">
        <v>192</v>
      </c>
      <c r="H161" t="s">
        <v>201</v>
      </c>
      <c r="I161" t="s">
        <v>47</v>
      </c>
      <c r="J161" t="s">
        <v>85</v>
      </c>
      <c r="K161" t="s">
        <v>102</v>
      </c>
      <c r="L161" s="8">
        <v>2</v>
      </c>
      <c r="M161" s="12">
        <v>3200</v>
      </c>
      <c r="N161" s="10">
        <v>0.15</v>
      </c>
      <c r="O161" s="12">
        <v>5440</v>
      </c>
      <c r="P161" s="12">
        <v>1361.01</v>
      </c>
      <c r="Q161" s="12">
        <v>183.12</v>
      </c>
      <c r="R161" t="s">
        <v>57</v>
      </c>
      <c r="U161" s="12">
        <f>Table2[[#This Row],[Quantity]]*Table2[[#This Row],[Unit_Price]]*(1-Table2[[#This Row],[ Discount]])</f>
        <v>5440</v>
      </c>
      <c r="V161" s="10">
        <f>Table2[[#This Row],[Profit]]/Table2[[#This Row],[Sales_Amount]]</f>
        <v>0.25018566176470586</v>
      </c>
      <c r="W161" t="str">
        <f>IF(Table2[[#This Row],[Sales_Amount]]&gt;10000,"High Value","Normal")</f>
        <v>Normal</v>
      </c>
      <c r="X161" t="str">
        <f t="shared" si="6"/>
        <v>High</v>
      </c>
      <c r="Y161" s="25">
        <f t="shared" si="7"/>
        <v>45505</v>
      </c>
      <c r="Z161">
        <f t="shared" si="8"/>
        <v>2024</v>
      </c>
    </row>
    <row r="162" spans="1:26" x14ac:dyDescent="0.3">
      <c r="A162" t="s">
        <v>450</v>
      </c>
      <c r="B162" s="4" t="s">
        <v>451</v>
      </c>
      <c r="C162" t="s">
        <v>122</v>
      </c>
      <c r="D162" t="s">
        <v>123</v>
      </c>
      <c r="E162" t="s">
        <v>22</v>
      </c>
      <c r="F162" t="s">
        <v>44</v>
      </c>
      <c r="G162" t="s">
        <v>45</v>
      </c>
      <c r="H162" t="s">
        <v>96</v>
      </c>
      <c r="I162" t="s">
        <v>36</v>
      </c>
      <c r="J162" t="s">
        <v>113</v>
      </c>
      <c r="K162" t="s">
        <v>159</v>
      </c>
      <c r="L162" s="8">
        <v>2</v>
      </c>
      <c r="M162" s="12">
        <v>1500</v>
      </c>
      <c r="N162" s="10">
        <v>0.2</v>
      </c>
      <c r="O162" s="12">
        <v>2400</v>
      </c>
      <c r="P162" s="12">
        <v>432.92</v>
      </c>
      <c r="Q162" s="12">
        <v>73.28</v>
      </c>
      <c r="R162" t="s">
        <v>57</v>
      </c>
      <c r="U162" s="12">
        <f>Table2[[#This Row],[Quantity]]*Table2[[#This Row],[Unit_Price]]*(1-Table2[[#This Row],[ Discount]])</f>
        <v>2400</v>
      </c>
      <c r="V162" s="10">
        <f>Table2[[#This Row],[Profit]]/Table2[[#This Row],[Sales_Amount]]</f>
        <v>0.18038333333333334</v>
      </c>
      <c r="W162" t="str">
        <f>IF(Table2[[#This Row],[Sales_Amount]]&gt;10000,"High Value","Normal")</f>
        <v>Normal</v>
      </c>
      <c r="X162" t="str">
        <f t="shared" si="6"/>
        <v>High</v>
      </c>
      <c r="Y162" s="25">
        <f t="shared" si="7"/>
        <v>45505</v>
      </c>
      <c r="Z162">
        <f t="shared" si="8"/>
        <v>2024</v>
      </c>
    </row>
    <row r="163" spans="1:26" x14ac:dyDescent="0.3">
      <c r="A163" t="s">
        <v>452</v>
      </c>
      <c r="B163" s="4" t="s">
        <v>453</v>
      </c>
      <c r="C163" t="s">
        <v>104</v>
      </c>
      <c r="D163" t="s">
        <v>105</v>
      </c>
      <c r="E163" t="s">
        <v>22</v>
      </c>
      <c r="F163" t="s">
        <v>44</v>
      </c>
      <c r="G163" t="s">
        <v>216</v>
      </c>
      <c r="H163" t="s">
        <v>266</v>
      </c>
      <c r="I163" t="s">
        <v>26</v>
      </c>
      <c r="J163" t="s">
        <v>69</v>
      </c>
      <c r="K163" t="s">
        <v>145</v>
      </c>
      <c r="L163" s="8">
        <v>5</v>
      </c>
      <c r="M163" s="12">
        <v>55000</v>
      </c>
      <c r="N163" s="10">
        <v>0</v>
      </c>
      <c r="O163" s="12">
        <v>275000</v>
      </c>
      <c r="P163" s="12">
        <v>40830</v>
      </c>
      <c r="Q163" s="12">
        <v>224.25</v>
      </c>
      <c r="R163" t="s">
        <v>29</v>
      </c>
      <c r="U163" s="12">
        <f>Table2[[#This Row],[Quantity]]*Table2[[#This Row],[Unit_Price]]*(1-Table2[[#This Row],[ Discount]])</f>
        <v>275000</v>
      </c>
      <c r="V163" s="10">
        <f>Table2[[#This Row],[Profit]]/Table2[[#This Row],[Sales_Amount]]</f>
        <v>0.14847272727272728</v>
      </c>
      <c r="W163" t="str">
        <f>IF(Table2[[#This Row],[Sales_Amount]]&gt;10000,"High Value","Normal")</f>
        <v>High Value</v>
      </c>
      <c r="X163" t="str">
        <f t="shared" si="6"/>
        <v>No Discount</v>
      </c>
      <c r="Y163" s="25">
        <f t="shared" si="7"/>
        <v>45505</v>
      </c>
      <c r="Z163">
        <f t="shared" si="8"/>
        <v>2024</v>
      </c>
    </row>
    <row r="164" spans="1:26" x14ac:dyDescent="0.3">
      <c r="A164" t="s">
        <v>454</v>
      </c>
      <c r="B164" s="4" t="s">
        <v>453</v>
      </c>
      <c r="C164" t="s">
        <v>94</v>
      </c>
      <c r="D164" t="s">
        <v>95</v>
      </c>
      <c r="E164" t="s">
        <v>52</v>
      </c>
      <c r="F164" t="s">
        <v>44</v>
      </c>
      <c r="G164" t="s">
        <v>45</v>
      </c>
      <c r="H164" t="s">
        <v>124</v>
      </c>
      <c r="I164" t="s">
        <v>47</v>
      </c>
      <c r="J164" t="s">
        <v>48</v>
      </c>
      <c r="K164" t="s">
        <v>196</v>
      </c>
      <c r="L164" s="8">
        <v>3</v>
      </c>
      <c r="M164" s="12">
        <v>2500</v>
      </c>
      <c r="N164" s="10">
        <v>0</v>
      </c>
      <c r="O164" s="12">
        <v>7500</v>
      </c>
      <c r="P164" s="12">
        <v>830</v>
      </c>
      <c r="Q164" s="12">
        <v>450.02</v>
      </c>
      <c r="R164" t="s">
        <v>64</v>
      </c>
      <c r="U164" s="12">
        <f>Table2[[#This Row],[Quantity]]*Table2[[#This Row],[Unit_Price]]*(1-Table2[[#This Row],[ Discount]])</f>
        <v>7500</v>
      </c>
      <c r="V164" s="10">
        <f>Table2[[#This Row],[Profit]]/Table2[[#This Row],[Sales_Amount]]</f>
        <v>0.11066666666666666</v>
      </c>
      <c r="W164" t="str">
        <f>IF(Table2[[#This Row],[Sales_Amount]]&gt;10000,"High Value","Normal")</f>
        <v>Normal</v>
      </c>
      <c r="X164" t="str">
        <f t="shared" si="6"/>
        <v>No Discount</v>
      </c>
      <c r="Y164" s="25">
        <f t="shared" si="7"/>
        <v>45505</v>
      </c>
      <c r="Z164">
        <f t="shared" si="8"/>
        <v>2024</v>
      </c>
    </row>
    <row r="165" spans="1:26" x14ac:dyDescent="0.3">
      <c r="A165" t="s">
        <v>455</v>
      </c>
      <c r="B165" s="4" t="s">
        <v>456</v>
      </c>
      <c r="C165" t="s">
        <v>171</v>
      </c>
      <c r="D165" t="s">
        <v>172</v>
      </c>
      <c r="E165" t="s">
        <v>52</v>
      </c>
      <c r="F165" t="s">
        <v>53</v>
      </c>
      <c r="G165" t="s">
        <v>100</v>
      </c>
      <c r="H165" t="s">
        <v>213</v>
      </c>
      <c r="I165" t="s">
        <v>36</v>
      </c>
      <c r="J165" t="s">
        <v>113</v>
      </c>
      <c r="K165" t="s">
        <v>159</v>
      </c>
      <c r="L165" s="8">
        <v>1</v>
      </c>
      <c r="M165" s="12">
        <v>1500</v>
      </c>
      <c r="N165" s="10">
        <v>0.1</v>
      </c>
      <c r="O165" s="12">
        <v>1350</v>
      </c>
      <c r="P165" s="12">
        <v>329.12</v>
      </c>
      <c r="Q165" s="12">
        <v>300.93</v>
      </c>
      <c r="R165" t="s">
        <v>57</v>
      </c>
      <c r="U165" s="12">
        <f>Table2[[#This Row],[Quantity]]*Table2[[#This Row],[Unit_Price]]*(1-Table2[[#This Row],[ Discount]])</f>
        <v>1350</v>
      </c>
      <c r="V165" s="10">
        <f>Table2[[#This Row],[Profit]]/Table2[[#This Row],[Sales_Amount]]</f>
        <v>0.24379259259259259</v>
      </c>
      <c r="W165" t="str">
        <f>IF(Table2[[#This Row],[Sales_Amount]]&gt;10000,"High Value","Normal")</f>
        <v>Normal</v>
      </c>
      <c r="X165" t="str">
        <f t="shared" si="6"/>
        <v>Medium</v>
      </c>
      <c r="Y165" s="25">
        <f t="shared" si="7"/>
        <v>45505</v>
      </c>
      <c r="Z165">
        <f t="shared" si="8"/>
        <v>2024</v>
      </c>
    </row>
    <row r="166" spans="1:26" x14ac:dyDescent="0.3">
      <c r="A166" t="s">
        <v>457</v>
      </c>
      <c r="B166" s="4" t="s">
        <v>458</v>
      </c>
      <c r="C166" t="s">
        <v>32</v>
      </c>
      <c r="D166" t="s">
        <v>33</v>
      </c>
      <c r="E166" t="s">
        <v>67</v>
      </c>
      <c r="F166" t="s">
        <v>23</v>
      </c>
      <c r="G166" t="s">
        <v>24</v>
      </c>
      <c r="H166" t="s">
        <v>25</v>
      </c>
      <c r="I166" t="s">
        <v>36</v>
      </c>
      <c r="J166" t="s">
        <v>140</v>
      </c>
      <c r="K166" t="s">
        <v>404</v>
      </c>
      <c r="L166" s="8">
        <v>3</v>
      </c>
      <c r="M166" s="12">
        <v>3200</v>
      </c>
      <c r="N166" s="10">
        <v>0.2</v>
      </c>
      <c r="O166" s="12">
        <v>7680</v>
      </c>
      <c r="P166" s="12">
        <v>1939.15</v>
      </c>
      <c r="Q166" s="12">
        <v>378.25</v>
      </c>
      <c r="R166" t="s">
        <v>64</v>
      </c>
      <c r="U166" s="12">
        <f>Table2[[#This Row],[Quantity]]*Table2[[#This Row],[Unit_Price]]*(1-Table2[[#This Row],[ Discount]])</f>
        <v>7680</v>
      </c>
      <c r="V166" s="10">
        <f>Table2[[#This Row],[Profit]]/Table2[[#This Row],[Sales_Amount]]</f>
        <v>0.25249348958333334</v>
      </c>
      <c r="W166" t="str">
        <f>IF(Table2[[#This Row],[Sales_Amount]]&gt;10000,"High Value","Normal")</f>
        <v>Normal</v>
      </c>
      <c r="X166" t="str">
        <f t="shared" si="6"/>
        <v>High</v>
      </c>
      <c r="Y166" s="25">
        <f t="shared" si="7"/>
        <v>45505</v>
      </c>
      <c r="Z166">
        <f t="shared" si="8"/>
        <v>2024</v>
      </c>
    </row>
    <row r="167" spans="1:26" x14ac:dyDescent="0.3">
      <c r="A167" t="s">
        <v>459</v>
      </c>
      <c r="B167" s="4" t="s">
        <v>449</v>
      </c>
      <c r="C167" t="s">
        <v>78</v>
      </c>
      <c r="D167" t="s">
        <v>79</v>
      </c>
      <c r="E167" t="s">
        <v>67</v>
      </c>
      <c r="F167" t="s">
        <v>106</v>
      </c>
      <c r="G167" t="s">
        <v>107</v>
      </c>
      <c r="H167" t="s">
        <v>139</v>
      </c>
      <c r="I167" t="s">
        <v>26</v>
      </c>
      <c r="J167" t="s">
        <v>27</v>
      </c>
      <c r="K167" t="s">
        <v>76</v>
      </c>
      <c r="L167" s="8">
        <v>2</v>
      </c>
      <c r="M167" s="12">
        <v>75000</v>
      </c>
      <c r="N167" s="10">
        <v>0.1</v>
      </c>
      <c r="O167" s="12">
        <v>135000</v>
      </c>
      <c r="P167" s="12">
        <v>29057.67</v>
      </c>
      <c r="Q167" s="12">
        <v>205.12</v>
      </c>
      <c r="R167" t="s">
        <v>39</v>
      </c>
      <c r="U167" s="12">
        <f>Table2[[#This Row],[Quantity]]*Table2[[#This Row],[Unit_Price]]*(1-Table2[[#This Row],[ Discount]])</f>
        <v>135000</v>
      </c>
      <c r="V167" s="10">
        <f>Table2[[#This Row],[Profit]]/Table2[[#This Row],[Sales_Amount]]</f>
        <v>0.21524199999999999</v>
      </c>
      <c r="W167" t="str">
        <f>IF(Table2[[#This Row],[Sales_Amount]]&gt;10000,"High Value","Normal")</f>
        <v>High Value</v>
      </c>
      <c r="X167" t="str">
        <f t="shared" si="6"/>
        <v>Medium</v>
      </c>
      <c r="Y167" s="25">
        <f t="shared" si="7"/>
        <v>45505</v>
      </c>
      <c r="Z167">
        <f t="shared" si="8"/>
        <v>2024</v>
      </c>
    </row>
    <row r="168" spans="1:26" x14ac:dyDescent="0.3">
      <c r="A168" t="s">
        <v>460</v>
      </c>
      <c r="B168" s="4" t="s">
        <v>461</v>
      </c>
      <c r="C168" t="s">
        <v>20</v>
      </c>
      <c r="D168" t="s">
        <v>21</v>
      </c>
      <c r="E168" t="s">
        <v>67</v>
      </c>
      <c r="F168" t="s">
        <v>53</v>
      </c>
      <c r="G168" t="s">
        <v>83</v>
      </c>
      <c r="H168" t="s">
        <v>251</v>
      </c>
      <c r="I168" t="s">
        <v>47</v>
      </c>
      <c r="J168" t="s">
        <v>85</v>
      </c>
      <c r="K168" t="s">
        <v>274</v>
      </c>
      <c r="L168" s="8">
        <v>3</v>
      </c>
      <c r="M168" s="12">
        <v>2400</v>
      </c>
      <c r="N168" s="10">
        <v>0.05</v>
      </c>
      <c r="O168" s="12">
        <v>6840</v>
      </c>
      <c r="P168" s="12">
        <v>1900.78</v>
      </c>
      <c r="Q168" s="12">
        <v>295.97000000000003</v>
      </c>
      <c r="R168" t="s">
        <v>64</v>
      </c>
      <c r="U168" s="12">
        <f>Table2[[#This Row],[Quantity]]*Table2[[#This Row],[Unit_Price]]*(1-Table2[[#This Row],[ Discount]])</f>
        <v>6840</v>
      </c>
      <c r="V168" s="10">
        <f>Table2[[#This Row],[Profit]]/Table2[[#This Row],[Sales_Amount]]</f>
        <v>0.27789181286549708</v>
      </c>
      <c r="W168" t="str">
        <f>IF(Table2[[#This Row],[Sales_Amount]]&gt;10000,"High Value","Normal")</f>
        <v>Normal</v>
      </c>
      <c r="X168" t="str">
        <f t="shared" si="6"/>
        <v>Low</v>
      </c>
      <c r="Y168" s="25">
        <f t="shared" si="7"/>
        <v>45505</v>
      </c>
      <c r="Z168">
        <f t="shared" si="8"/>
        <v>2024</v>
      </c>
    </row>
    <row r="169" spans="1:26" x14ac:dyDescent="0.3">
      <c r="A169" t="s">
        <v>462</v>
      </c>
      <c r="B169" s="4" t="s">
        <v>463</v>
      </c>
      <c r="C169" t="s">
        <v>20</v>
      </c>
      <c r="D169" t="s">
        <v>21</v>
      </c>
      <c r="E169" t="s">
        <v>52</v>
      </c>
      <c r="F169" t="s">
        <v>106</v>
      </c>
      <c r="G169" t="s">
        <v>107</v>
      </c>
      <c r="H169" t="s">
        <v>108</v>
      </c>
      <c r="I169" t="s">
        <v>26</v>
      </c>
      <c r="J169" t="s">
        <v>69</v>
      </c>
      <c r="K169" t="s">
        <v>70</v>
      </c>
      <c r="L169" s="8">
        <v>4</v>
      </c>
      <c r="M169" s="12">
        <v>45000</v>
      </c>
      <c r="N169" s="10">
        <v>0.2</v>
      </c>
      <c r="O169" s="12">
        <v>144000</v>
      </c>
      <c r="P169" s="12">
        <v>39370.300000000003</v>
      </c>
      <c r="Q169" s="12">
        <v>53.89</v>
      </c>
      <c r="R169" t="s">
        <v>57</v>
      </c>
      <c r="U169" s="12">
        <f>Table2[[#This Row],[Quantity]]*Table2[[#This Row],[Unit_Price]]*(1-Table2[[#This Row],[ Discount]])</f>
        <v>144000</v>
      </c>
      <c r="V169" s="10">
        <f>Table2[[#This Row],[Profit]]/Table2[[#This Row],[Sales_Amount]]</f>
        <v>0.27340486111111112</v>
      </c>
      <c r="W169" t="str">
        <f>IF(Table2[[#This Row],[Sales_Amount]]&gt;10000,"High Value","Normal")</f>
        <v>High Value</v>
      </c>
      <c r="X169" t="str">
        <f t="shared" si="6"/>
        <v>High</v>
      </c>
      <c r="Y169" s="25">
        <f t="shared" si="7"/>
        <v>45505</v>
      </c>
      <c r="Z169">
        <f t="shared" si="8"/>
        <v>2024</v>
      </c>
    </row>
    <row r="170" spans="1:26" x14ac:dyDescent="0.3">
      <c r="A170" t="s">
        <v>464</v>
      </c>
      <c r="B170" s="4" t="s">
        <v>465</v>
      </c>
      <c r="C170" t="s">
        <v>171</v>
      </c>
      <c r="D170" t="s">
        <v>172</v>
      </c>
      <c r="E170" t="s">
        <v>67</v>
      </c>
      <c r="F170" t="s">
        <v>23</v>
      </c>
      <c r="G170" t="s">
        <v>74</v>
      </c>
      <c r="H170" t="s">
        <v>75</v>
      </c>
      <c r="I170" t="s">
        <v>36</v>
      </c>
      <c r="J170" t="s">
        <v>140</v>
      </c>
      <c r="K170" t="s">
        <v>168</v>
      </c>
      <c r="L170" s="8">
        <v>4</v>
      </c>
      <c r="M170" s="12">
        <v>1800</v>
      </c>
      <c r="N170" s="10">
        <v>0.05</v>
      </c>
      <c r="O170" s="12">
        <v>6840</v>
      </c>
      <c r="P170" s="12">
        <v>1855.12</v>
      </c>
      <c r="Q170" s="12">
        <v>466.86</v>
      </c>
      <c r="R170" t="s">
        <v>64</v>
      </c>
      <c r="U170" s="12">
        <f>Table2[[#This Row],[Quantity]]*Table2[[#This Row],[Unit_Price]]*(1-Table2[[#This Row],[ Discount]])</f>
        <v>6840</v>
      </c>
      <c r="V170" s="10">
        <f>Table2[[#This Row],[Profit]]/Table2[[#This Row],[Sales_Amount]]</f>
        <v>0.27121637426900586</v>
      </c>
      <c r="W170" t="str">
        <f>IF(Table2[[#This Row],[Sales_Amount]]&gt;10000,"High Value","Normal")</f>
        <v>Normal</v>
      </c>
      <c r="X170" t="str">
        <f t="shared" si="6"/>
        <v>Low</v>
      </c>
      <c r="Y170" s="25">
        <f t="shared" si="7"/>
        <v>45505</v>
      </c>
      <c r="Z170">
        <f t="shared" si="8"/>
        <v>2024</v>
      </c>
    </row>
    <row r="171" spans="1:26" x14ac:dyDescent="0.3">
      <c r="A171" t="s">
        <v>466</v>
      </c>
      <c r="B171" s="4" t="s">
        <v>467</v>
      </c>
      <c r="C171" t="s">
        <v>20</v>
      </c>
      <c r="D171" t="s">
        <v>21</v>
      </c>
      <c r="E171" t="s">
        <v>52</v>
      </c>
      <c r="F171" t="s">
        <v>53</v>
      </c>
      <c r="G171" t="s">
        <v>100</v>
      </c>
      <c r="H171" t="s">
        <v>213</v>
      </c>
      <c r="I171" t="s">
        <v>36</v>
      </c>
      <c r="J171" t="s">
        <v>113</v>
      </c>
      <c r="K171" t="s">
        <v>114</v>
      </c>
      <c r="L171" s="8">
        <v>4</v>
      </c>
      <c r="M171" s="12">
        <v>600</v>
      </c>
      <c r="N171" s="10">
        <v>0.2</v>
      </c>
      <c r="O171" s="12">
        <v>1920</v>
      </c>
      <c r="P171" s="12">
        <v>198.57</v>
      </c>
      <c r="Q171" s="12">
        <v>127.88</v>
      </c>
      <c r="R171" t="s">
        <v>29</v>
      </c>
      <c r="U171" s="12">
        <f>Table2[[#This Row],[Quantity]]*Table2[[#This Row],[Unit_Price]]*(1-Table2[[#This Row],[ Discount]])</f>
        <v>1920</v>
      </c>
      <c r="V171" s="10">
        <f>Table2[[#This Row],[Profit]]/Table2[[#This Row],[Sales_Amount]]</f>
        <v>0.103421875</v>
      </c>
      <c r="W171" t="str">
        <f>IF(Table2[[#This Row],[Sales_Amount]]&gt;10000,"High Value","Normal")</f>
        <v>Normal</v>
      </c>
      <c r="X171" t="str">
        <f t="shared" si="6"/>
        <v>High</v>
      </c>
      <c r="Y171" s="25">
        <f t="shared" si="7"/>
        <v>45505</v>
      </c>
      <c r="Z171">
        <f t="shared" si="8"/>
        <v>2024</v>
      </c>
    </row>
    <row r="172" spans="1:26" x14ac:dyDescent="0.3">
      <c r="A172" t="s">
        <v>468</v>
      </c>
      <c r="B172" s="4" t="s">
        <v>469</v>
      </c>
      <c r="C172" t="s">
        <v>60</v>
      </c>
      <c r="D172" t="s">
        <v>61</v>
      </c>
      <c r="E172" t="s">
        <v>22</v>
      </c>
      <c r="F172" t="s">
        <v>44</v>
      </c>
      <c r="G172" t="s">
        <v>45</v>
      </c>
      <c r="H172" t="s">
        <v>96</v>
      </c>
      <c r="I172" t="s">
        <v>36</v>
      </c>
      <c r="J172" t="s">
        <v>113</v>
      </c>
      <c r="K172" t="s">
        <v>220</v>
      </c>
      <c r="L172" s="8">
        <v>4</v>
      </c>
      <c r="M172" s="12">
        <v>1800</v>
      </c>
      <c r="N172" s="10">
        <v>0.1</v>
      </c>
      <c r="O172" s="12">
        <v>6480</v>
      </c>
      <c r="P172" s="12">
        <v>1262.5</v>
      </c>
      <c r="Q172" s="12">
        <v>499.01</v>
      </c>
      <c r="R172" t="s">
        <v>39</v>
      </c>
      <c r="U172" s="12">
        <f>Table2[[#This Row],[Quantity]]*Table2[[#This Row],[Unit_Price]]*(1-Table2[[#This Row],[ Discount]])</f>
        <v>6480</v>
      </c>
      <c r="V172" s="10">
        <f>Table2[[#This Row],[Profit]]/Table2[[#This Row],[Sales_Amount]]</f>
        <v>0.19483024691358025</v>
      </c>
      <c r="W172" t="str">
        <f>IF(Table2[[#This Row],[Sales_Amount]]&gt;10000,"High Value","Normal")</f>
        <v>Normal</v>
      </c>
      <c r="X172" t="str">
        <f t="shared" si="6"/>
        <v>Medium</v>
      </c>
      <c r="Y172" s="25">
        <f t="shared" si="7"/>
        <v>45505</v>
      </c>
      <c r="Z172">
        <f t="shared" si="8"/>
        <v>2024</v>
      </c>
    </row>
    <row r="173" spans="1:26" x14ac:dyDescent="0.3">
      <c r="A173" t="s">
        <v>470</v>
      </c>
      <c r="B173" s="4" t="s">
        <v>463</v>
      </c>
      <c r="C173" t="s">
        <v>178</v>
      </c>
      <c r="D173" t="s">
        <v>179</v>
      </c>
      <c r="E173" t="s">
        <v>67</v>
      </c>
      <c r="F173" t="s">
        <v>44</v>
      </c>
      <c r="G173" t="s">
        <v>216</v>
      </c>
      <c r="H173" t="s">
        <v>316</v>
      </c>
      <c r="I173" t="s">
        <v>26</v>
      </c>
      <c r="J173" t="s">
        <v>69</v>
      </c>
      <c r="K173" t="s">
        <v>70</v>
      </c>
      <c r="L173" s="8">
        <v>3</v>
      </c>
      <c r="M173" s="12">
        <v>45000</v>
      </c>
      <c r="N173" s="10">
        <v>0</v>
      </c>
      <c r="O173" s="12">
        <v>135000</v>
      </c>
      <c r="P173" s="12">
        <v>11408.48</v>
      </c>
      <c r="Q173" s="12">
        <v>343.27</v>
      </c>
      <c r="R173" t="s">
        <v>57</v>
      </c>
      <c r="U173" s="12">
        <f>Table2[[#This Row],[Quantity]]*Table2[[#This Row],[Unit_Price]]*(1-Table2[[#This Row],[ Discount]])</f>
        <v>135000</v>
      </c>
      <c r="V173" s="10">
        <f>Table2[[#This Row],[Profit]]/Table2[[#This Row],[Sales_Amount]]</f>
        <v>8.4507259259259254E-2</v>
      </c>
      <c r="W173" t="str">
        <f>IF(Table2[[#This Row],[Sales_Amount]]&gt;10000,"High Value","Normal")</f>
        <v>High Value</v>
      </c>
      <c r="X173" t="str">
        <f t="shared" si="6"/>
        <v>No Discount</v>
      </c>
      <c r="Y173" s="25">
        <f t="shared" si="7"/>
        <v>45505</v>
      </c>
      <c r="Z173">
        <f t="shared" si="8"/>
        <v>2024</v>
      </c>
    </row>
    <row r="174" spans="1:26" x14ac:dyDescent="0.3">
      <c r="A174" t="s">
        <v>471</v>
      </c>
      <c r="B174" s="4" t="s">
        <v>472</v>
      </c>
      <c r="C174" t="s">
        <v>72</v>
      </c>
      <c r="D174" t="s">
        <v>73</v>
      </c>
      <c r="E174" t="s">
        <v>67</v>
      </c>
      <c r="F174" t="s">
        <v>23</v>
      </c>
      <c r="G174" t="s">
        <v>74</v>
      </c>
      <c r="H174" t="s">
        <v>75</v>
      </c>
      <c r="I174" t="s">
        <v>47</v>
      </c>
      <c r="J174" t="s">
        <v>85</v>
      </c>
      <c r="K174" t="s">
        <v>102</v>
      </c>
      <c r="L174" s="8">
        <v>5</v>
      </c>
      <c r="M174" s="12">
        <v>3200</v>
      </c>
      <c r="N174" s="10">
        <v>0</v>
      </c>
      <c r="O174" s="12">
        <v>16000</v>
      </c>
      <c r="P174" s="12">
        <v>3238.38</v>
      </c>
      <c r="Q174" s="12">
        <v>83.21</v>
      </c>
      <c r="R174" t="s">
        <v>29</v>
      </c>
      <c r="U174" s="12">
        <f>Table2[[#This Row],[Quantity]]*Table2[[#This Row],[Unit_Price]]*(1-Table2[[#This Row],[ Discount]])</f>
        <v>16000</v>
      </c>
      <c r="V174" s="10">
        <f>Table2[[#This Row],[Profit]]/Table2[[#This Row],[Sales_Amount]]</f>
        <v>0.20239875000000002</v>
      </c>
      <c r="W174" t="str">
        <f>IF(Table2[[#This Row],[Sales_Amount]]&gt;10000,"High Value","Normal")</f>
        <v>High Value</v>
      </c>
      <c r="X174" t="str">
        <f t="shared" si="6"/>
        <v>No Discount</v>
      </c>
      <c r="Y174" s="25">
        <f t="shared" si="7"/>
        <v>45505</v>
      </c>
      <c r="Z174">
        <f t="shared" si="8"/>
        <v>2024</v>
      </c>
    </row>
    <row r="175" spans="1:26" x14ac:dyDescent="0.3">
      <c r="A175" t="s">
        <v>473</v>
      </c>
      <c r="B175" s="4" t="s">
        <v>474</v>
      </c>
      <c r="C175" t="s">
        <v>94</v>
      </c>
      <c r="D175" t="s">
        <v>95</v>
      </c>
      <c r="E175" t="s">
        <v>52</v>
      </c>
      <c r="F175" t="s">
        <v>44</v>
      </c>
      <c r="G175" t="s">
        <v>45</v>
      </c>
      <c r="H175" t="s">
        <v>46</v>
      </c>
      <c r="I175" t="s">
        <v>26</v>
      </c>
      <c r="J175" t="s">
        <v>27</v>
      </c>
      <c r="K175" t="s">
        <v>28</v>
      </c>
      <c r="L175" s="8">
        <v>3</v>
      </c>
      <c r="M175" s="12">
        <v>40000</v>
      </c>
      <c r="N175" s="10">
        <v>0</v>
      </c>
      <c r="O175" s="12">
        <v>120000</v>
      </c>
      <c r="P175" s="12">
        <v>10048.049999999999</v>
      </c>
      <c r="Q175" s="12">
        <v>129.86000000000001</v>
      </c>
      <c r="R175" t="s">
        <v>29</v>
      </c>
      <c r="U175" s="12">
        <f>Table2[[#This Row],[Quantity]]*Table2[[#This Row],[Unit_Price]]*(1-Table2[[#This Row],[ Discount]])</f>
        <v>120000</v>
      </c>
      <c r="V175" s="10">
        <f>Table2[[#This Row],[Profit]]/Table2[[#This Row],[Sales_Amount]]</f>
        <v>8.3733749999999996E-2</v>
      </c>
      <c r="W175" t="str">
        <f>IF(Table2[[#This Row],[Sales_Amount]]&gt;10000,"High Value","Normal")</f>
        <v>High Value</v>
      </c>
      <c r="X175" t="str">
        <f t="shared" si="6"/>
        <v>No Discount</v>
      </c>
      <c r="Y175" s="25">
        <f t="shared" si="7"/>
        <v>45505</v>
      </c>
      <c r="Z175">
        <f t="shared" si="8"/>
        <v>2024</v>
      </c>
    </row>
    <row r="176" spans="1:26" x14ac:dyDescent="0.3">
      <c r="A176" t="s">
        <v>475</v>
      </c>
      <c r="B176" s="4" t="s">
        <v>463</v>
      </c>
      <c r="C176" t="s">
        <v>104</v>
      </c>
      <c r="D176" t="s">
        <v>105</v>
      </c>
      <c r="E176" t="s">
        <v>52</v>
      </c>
      <c r="F176" t="s">
        <v>44</v>
      </c>
      <c r="G176" t="s">
        <v>45</v>
      </c>
      <c r="H176" t="s">
        <v>198</v>
      </c>
      <c r="I176" t="s">
        <v>36</v>
      </c>
      <c r="J176" t="s">
        <v>37</v>
      </c>
      <c r="K176" t="s">
        <v>125</v>
      </c>
      <c r="L176" s="8">
        <v>4</v>
      </c>
      <c r="M176" s="12">
        <v>8500</v>
      </c>
      <c r="N176" s="10">
        <v>0.05</v>
      </c>
      <c r="O176" s="12">
        <v>32300</v>
      </c>
      <c r="P176" s="12">
        <v>7857.74</v>
      </c>
      <c r="Q176" s="12">
        <v>131.93</v>
      </c>
      <c r="R176" t="s">
        <v>39</v>
      </c>
      <c r="U176" s="12">
        <f>Table2[[#This Row],[Quantity]]*Table2[[#This Row],[Unit_Price]]*(1-Table2[[#This Row],[ Discount]])</f>
        <v>32300</v>
      </c>
      <c r="V176" s="10">
        <f>Table2[[#This Row],[Profit]]/Table2[[#This Row],[Sales_Amount]]</f>
        <v>0.24327368421052631</v>
      </c>
      <c r="W176" t="str">
        <f>IF(Table2[[#This Row],[Sales_Amount]]&gt;10000,"High Value","Normal")</f>
        <v>High Value</v>
      </c>
      <c r="X176" t="str">
        <f t="shared" si="6"/>
        <v>Low</v>
      </c>
      <c r="Y176" s="25">
        <f t="shared" si="7"/>
        <v>45505</v>
      </c>
      <c r="Z176">
        <f t="shared" si="8"/>
        <v>2024</v>
      </c>
    </row>
    <row r="177" spans="1:26" x14ac:dyDescent="0.3">
      <c r="A177" t="s">
        <v>476</v>
      </c>
      <c r="B177" s="4" t="s">
        <v>465</v>
      </c>
      <c r="C177" t="s">
        <v>166</v>
      </c>
      <c r="D177" t="s">
        <v>167</v>
      </c>
      <c r="E177" t="s">
        <v>52</v>
      </c>
      <c r="F177" t="s">
        <v>53</v>
      </c>
      <c r="G177" t="s">
        <v>100</v>
      </c>
      <c r="H177" t="s">
        <v>213</v>
      </c>
      <c r="I177" t="s">
        <v>36</v>
      </c>
      <c r="J177" t="s">
        <v>140</v>
      </c>
      <c r="K177" t="s">
        <v>287</v>
      </c>
      <c r="L177" s="8">
        <v>5</v>
      </c>
      <c r="M177" s="12">
        <v>4000</v>
      </c>
      <c r="N177" s="10">
        <v>0.2</v>
      </c>
      <c r="O177" s="12">
        <v>16000</v>
      </c>
      <c r="P177" s="12">
        <v>3911.82</v>
      </c>
      <c r="Q177" s="12">
        <v>483.66</v>
      </c>
      <c r="R177" t="s">
        <v>29</v>
      </c>
      <c r="U177" s="12">
        <f>Table2[[#This Row],[Quantity]]*Table2[[#This Row],[Unit_Price]]*(1-Table2[[#This Row],[ Discount]])</f>
        <v>16000</v>
      </c>
      <c r="V177" s="10">
        <f>Table2[[#This Row],[Profit]]/Table2[[#This Row],[Sales_Amount]]</f>
        <v>0.24448875</v>
      </c>
      <c r="W177" t="str">
        <f>IF(Table2[[#This Row],[Sales_Amount]]&gt;10000,"High Value","Normal")</f>
        <v>High Value</v>
      </c>
      <c r="X177" t="str">
        <f t="shared" si="6"/>
        <v>High</v>
      </c>
      <c r="Y177" s="25">
        <f t="shared" si="7"/>
        <v>45505</v>
      </c>
      <c r="Z177">
        <f t="shared" si="8"/>
        <v>2024</v>
      </c>
    </row>
    <row r="178" spans="1:26" x14ac:dyDescent="0.3">
      <c r="A178" t="s">
        <v>477</v>
      </c>
      <c r="B178" s="4" t="s">
        <v>458</v>
      </c>
      <c r="C178" t="s">
        <v>32</v>
      </c>
      <c r="D178" t="s">
        <v>33</v>
      </c>
      <c r="E178" t="s">
        <v>52</v>
      </c>
      <c r="F178" t="s">
        <v>44</v>
      </c>
      <c r="G178" t="s">
        <v>192</v>
      </c>
      <c r="H178" t="s">
        <v>193</v>
      </c>
      <c r="I178" t="s">
        <v>36</v>
      </c>
      <c r="J178" t="s">
        <v>113</v>
      </c>
      <c r="K178" t="s">
        <v>159</v>
      </c>
      <c r="L178" s="8">
        <v>2</v>
      </c>
      <c r="M178" s="12">
        <v>1500</v>
      </c>
      <c r="N178" s="10">
        <v>0.1</v>
      </c>
      <c r="O178" s="12">
        <v>2700</v>
      </c>
      <c r="P178" s="12">
        <v>542.39</v>
      </c>
      <c r="Q178" s="12">
        <v>208.92</v>
      </c>
      <c r="R178" t="s">
        <v>29</v>
      </c>
      <c r="U178" s="12">
        <f>Table2[[#This Row],[Quantity]]*Table2[[#This Row],[Unit_Price]]*(1-Table2[[#This Row],[ Discount]])</f>
        <v>2700</v>
      </c>
      <c r="V178" s="10">
        <f>Table2[[#This Row],[Profit]]/Table2[[#This Row],[Sales_Amount]]</f>
        <v>0.20088518518518517</v>
      </c>
      <c r="W178" t="str">
        <f>IF(Table2[[#This Row],[Sales_Amount]]&gt;10000,"High Value","Normal")</f>
        <v>Normal</v>
      </c>
      <c r="X178" t="str">
        <f t="shared" si="6"/>
        <v>Medium</v>
      </c>
      <c r="Y178" s="25">
        <f t="shared" si="7"/>
        <v>45505</v>
      </c>
      <c r="Z178">
        <f t="shared" si="8"/>
        <v>2024</v>
      </c>
    </row>
    <row r="179" spans="1:26" x14ac:dyDescent="0.3">
      <c r="A179" t="s">
        <v>478</v>
      </c>
      <c r="B179" s="4" t="s">
        <v>461</v>
      </c>
      <c r="C179" t="s">
        <v>122</v>
      </c>
      <c r="D179" t="s">
        <v>123</v>
      </c>
      <c r="E179" t="s">
        <v>22</v>
      </c>
      <c r="F179" t="s">
        <v>23</v>
      </c>
      <c r="G179" t="s">
        <v>34</v>
      </c>
      <c r="H179" t="s">
        <v>239</v>
      </c>
      <c r="I179" t="s">
        <v>36</v>
      </c>
      <c r="J179" t="s">
        <v>140</v>
      </c>
      <c r="K179" t="s">
        <v>141</v>
      </c>
      <c r="L179" s="8">
        <v>3</v>
      </c>
      <c r="M179" s="12">
        <v>2200</v>
      </c>
      <c r="N179" s="10">
        <v>0</v>
      </c>
      <c r="O179" s="12">
        <v>6600</v>
      </c>
      <c r="P179" s="12">
        <v>1766.6</v>
      </c>
      <c r="Q179" s="12">
        <v>161.93</v>
      </c>
      <c r="R179" t="s">
        <v>29</v>
      </c>
      <c r="U179" s="12">
        <f>Table2[[#This Row],[Quantity]]*Table2[[#This Row],[Unit_Price]]*(1-Table2[[#This Row],[ Discount]])</f>
        <v>6600</v>
      </c>
      <c r="V179" s="10">
        <f>Table2[[#This Row],[Profit]]/Table2[[#This Row],[Sales_Amount]]</f>
        <v>0.26766666666666666</v>
      </c>
      <c r="W179" t="str">
        <f>IF(Table2[[#This Row],[Sales_Amount]]&gt;10000,"High Value","Normal")</f>
        <v>Normal</v>
      </c>
      <c r="X179" t="str">
        <f t="shared" si="6"/>
        <v>No Discount</v>
      </c>
      <c r="Y179" s="25">
        <f t="shared" si="7"/>
        <v>45505</v>
      </c>
      <c r="Z179">
        <f t="shared" si="8"/>
        <v>2024</v>
      </c>
    </row>
    <row r="180" spans="1:26" x14ac:dyDescent="0.3">
      <c r="A180" t="s">
        <v>479</v>
      </c>
      <c r="B180" s="4" t="s">
        <v>480</v>
      </c>
      <c r="C180" t="s">
        <v>60</v>
      </c>
      <c r="D180" t="s">
        <v>61</v>
      </c>
      <c r="E180" t="s">
        <v>22</v>
      </c>
      <c r="F180" t="s">
        <v>23</v>
      </c>
      <c r="G180" t="s">
        <v>34</v>
      </c>
      <c r="H180" t="s">
        <v>239</v>
      </c>
      <c r="I180" t="s">
        <v>26</v>
      </c>
      <c r="J180" t="s">
        <v>69</v>
      </c>
      <c r="K180" t="s">
        <v>131</v>
      </c>
      <c r="L180" s="8">
        <v>5</v>
      </c>
      <c r="M180" s="12">
        <v>115000</v>
      </c>
      <c r="N180" s="10">
        <v>0.2</v>
      </c>
      <c r="O180" s="12">
        <v>460000</v>
      </c>
      <c r="P180" s="12">
        <v>60571.18</v>
      </c>
      <c r="Q180" s="12">
        <v>335.56</v>
      </c>
      <c r="R180" t="s">
        <v>57</v>
      </c>
      <c r="U180" s="12">
        <f>Table2[[#This Row],[Quantity]]*Table2[[#This Row],[Unit_Price]]*(1-Table2[[#This Row],[ Discount]])</f>
        <v>460000</v>
      </c>
      <c r="V180" s="10">
        <f>Table2[[#This Row],[Profit]]/Table2[[#This Row],[Sales_Amount]]</f>
        <v>0.13167647826086956</v>
      </c>
      <c r="W180" t="str">
        <f>IF(Table2[[#This Row],[Sales_Amount]]&gt;10000,"High Value","Normal")</f>
        <v>High Value</v>
      </c>
      <c r="X180" t="str">
        <f t="shared" si="6"/>
        <v>High</v>
      </c>
      <c r="Y180" s="25">
        <f t="shared" si="7"/>
        <v>45505</v>
      </c>
      <c r="Z180">
        <f t="shared" si="8"/>
        <v>2024</v>
      </c>
    </row>
    <row r="181" spans="1:26" x14ac:dyDescent="0.3">
      <c r="A181" t="s">
        <v>481</v>
      </c>
      <c r="B181" s="4" t="s">
        <v>465</v>
      </c>
      <c r="C181" t="s">
        <v>166</v>
      </c>
      <c r="D181" t="s">
        <v>167</v>
      </c>
      <c r="E181" t="s">
        <v>52</v>
      </c>
      <c r="F181" t="s">
        <v>23</v>
      </c>
      <c r="G181" t="s">
        <v>24</v>
      </c>
      <c r="H181" t="s">
        <v>68</v>
      </c>
      <c r="I181" t="s">
        <v>36</v>
      </c>
      <c r="J181" t="s">
        <v>37</v>
      </c>
      <c r="K181" t="s">
        <v>38</v>
      </c>
      <c r="L181" s="8">
        <v>3</v>
      </c>
      <c r="M181" s="12">
        <v>6000</v>
      </c>
      <c r="N181" s="10">
        <v>0.15</v>
      </c>
      <c r="O181" s="12">
        <v>15300</v>
      </c>
      <c r="P181" s="12">
        <v>2150.38</v>
      </c>
      <c r="Q181" s="12">
        <v>328.95</v>
      </c>
      <c r="R181" t="s">
        <v>39</v>
      </c>
      <c r="U181" s="12">
        <f>Table2[[#This Row],[Quantity]]*Table2[[#This Row],[Unit_Price]]*(1-Table2[[#This Row],[ Discount]])</f>
        <v>15300</v>
      </c>
      <c r="V181" s="10">
        <f>Table2[[#This Row],[Profit]]/Table2[[#This Row],[Sales_Amount]]</f>
        <v>0.14054771241830066</v>
      </c>
      <c r="W181" t="str">
        <f>IF(Table2[[#This Row],[Sales_Amount]]&gt;10000,"High Value","Normal")</f>
        <v>High Value</v>
      </c>
      <c r="X181" t="str">
        <f t="shared" si="6"/>
        <v>High</v>
      </c>
      <c r="Y181" s="25">
        <f t="shared" si="7"/>
        <v>45505</v>
      </c>
      <c r="Z181">
        <f t="shared" si="8"/>
        <v>2024</v>
      </c>
    </row>
    <row r="182" spans="1:26" x14ac:dyDescent="0.3">
      <c r="A182" t="s">
        <v>482</v>
      </c>
      <c r="B182" s="4" t="s">
        <v>465</v>
      </c>
      <c r="C182" t="s">
        <v>78</v>
      </c>
      <c r="D182" t="s">
        <v>79</v>
      </c>
      <c r="E182" t="s">
        <v>67</v>
      </c>
      <c r="F182" t="s">
        <v>106</v>
      </c>
      <c r="G182" t="s">
        <v>306</v>
      </c>
      <c r="H182" t="s">
        <v>307</v>
      </c>
      <c r="I182" t="s">
        <v>36</v>
      </c>
      <c r="J182" t="s">
        <v>140</v>
      </c>
      <c r="K182" t="s">
        <v>337</v>
      </c>
      <c r="L182" s="8">
        <v>5</v>
      </c>
      <c r="M182" s="12">
        <v>5500</v>
      </c>
      <c r="N182" s="10">
        <v>0</v>
      </c>
      <c r="O182" s="12">
        <v>27500</v>
      </c>
      <c r="P182" s="12">
        <v>6959.98</v>
      </c>
      <c r="Q182" s="12">
        <v>171.57</v>
      </c>
      <c r="R182" t="s">
        <v>29</v>
      </c>
      <c r="U182" s="12">
        <f>Table2[[#This Row],[Quantity]]*Table2[[#This Row],[Unit_Price]]*(1-Table2[[#This Row],[ Discount]])</f>
        <v>27500</v>
      </c>
      <c r="V182" s="10">
        <f>Table2[[#This Row],[Profit]]/Table2[[#This Row],[Sales_Amount]]</f>
        <v>0.25309018181818183</v>
      </c>
      <c r="W182" t="str">
        <f>IF(Table2[[#This Row],[Sales_Amount]]&gt;10000,"High Value","Normal")</f>
        <v>High Value</v>
      </c>
      <c r="X182" t="str">
        <f t="shared" si="6"/>
        <v>No Discount</v>
      </c>
      <c r="Y182" s="25">
        <f t="shared" si="7"/>
        <v>45505</v>
      </c>
      <c r="Z182">
        <f t="shared" si="8"/>
        <v>2024</v>
      </c>
    </row>
    <row r="183" spans="1:26" x14ac:dyDescent="0.3">
      <c r="A183" t="s">
        <v>483</v>
      </c>
      <c r="B183" s="4" t="s">
        <v>480</v>
      </c>
      <c r="C183" t="s">
        <v>166</v>
      </c>
      <c r="D183" t="s">
        <v>167</v>
      </c>
      <c r="E183" t="s">
        <v>22</v>
      </c>
      <c r="F183" t="s">
        <v>53</v>
      </c>
      <c r="G183" t="s">
        <v>100</v>
      </c>
      <c r="H183" t="s">
        <v>101</v>
      </c>
      <c r="I183" t="s">
        <v>36</v>
      </c>
      <c r="J183" t="s">
        <v>37</v>
      </c>
      <c r="K183" t="s">
        <v>38</v>
      </c>
      <c r="L183" s="8">
        <v>4</v>
      </c>
      <c r="M183" s="12">
        <v>6000</v>
      </c>
      <c r="N183" s="10">
        <v>0</v>
      </c>
      <c r="O183" s="12">
        <v>24000</v>
      </c>
      <c r="P183" s="12">
        <v>5426.61</v>
      </c>
      <c r="Q183" s="12">
        <v>295.77</v>
      </c>
      <c r="R183" t="s">
        <v>64</v>
      </c>
      <c r="U183" s="12">
        <f>Table2[[#This Row],[Quantity]]*Table2[[#This Row],[Unit_Price]]*(1-Table2[[#This Row],[ Discount]])</f>
        <v>24000</v>
      </c>
      <c r="V183" s="10">
        <f>Table2[[#This Row],[Profit]]/Table2[[#This Row],[Sales_Amount]]</f>
        <v>0.22610875</v>
      </c>
      <c r="W183" t="str">
        <f>IF(Table2[[#This Row],[Sales_Amount]]&gt;10000,"High Value","Normal")</f>
        <v>High Value</v>
      </c>
      <c r="X183" t="str">
        <f t="shared" si="6"/>
        <v>No Discount</v>
      </c>
      <c r="Y183" s="25">
        <f t="shared" si="7"/>
        <v>45505</v>
      </c>
      <c r="Z183">
        <f t="shared" si="8"/>
        <v>2024</v>
      </c>
    </row>
    <row r="184" spans="1:26" x14ac:dyDescent="0.3">
      <c r="A184" t="s">
        <v>484</v>
      </c>
      <c r="B184" s="4" t="s">
        <v>485</v>
      </c>
      <c r="C184" t="s">
        <v>171</v>
      </c>
      <c r="D184" t="s">
        <v>172</v>
      </c>
      <c r="E184" t="s">
        <v>22</v>
      </c>
      <c r="F184" t="s">
        <v>53</v>
      </c>
      <c r="G184" t="s">
        <v>54</v>
      </c>
      <c r="H184" t="s">
        <v>55</v>
      </c>
      <c r="I184" t="s">
        <v>36</v>
      </c>
      <c r="J184" t="s">
        <v>37</v>
      </c>
      <c r="K184" t="s">
        <v>125</v>
      </c>
      <c r="L184" s="8">
        <v>5</v>
      </c>
      <c r="M184" s="12">
        <v>8500</v>
      </c>
      <c r="N184" s="10">
        <v>0</v>
      </c>
      <c r="O184" s="12">
        <v>42500</v>
      </c>
      <c r="P184" s="12">
        <v>3801.02</v>
      </c>
      <c r="Q184" s="12">
        <v>53.56</v>
      </c>
      <c r="R184" t="s">
        <v>39</v>
      </c>
      <c r="U184" s="12">
        <f>Table2[[#This Row],[Quantity]]*Table2[[#This Row],[Unit_Price]]*(1-Table2[[#This Row],[ Discount]])</f>
        <v>42500</v>
      </c>
      <c r="V184" s="10">
        <f>Table2[[#This Row],[Profit]]/Table2[[#This Row],[Sales_Amount]]</f>
        <v>8.9435764705882353E-2</v>
      </c>
      <c r="W184" t="str">
        <f>IF(Table2[[#This Row],[Sales_Amount]]&gt;10000,"High Value","Normal")</f>
        <v>High Value</v>
      </c>
      <c r="X184" t="str">
        <f t="shared" si="6"/>
        <v>No Discount</v>
      </c>
      <c r="Y184" s="25">
        <f t="shared" si="7"/>
        <v>45505</v>
      </c>
      <c r="Z184">
        <f t="shared" si="8"/>
        <v>2024</v>
      </c>
    </row>
    <row r="185" spans="1:26" x14ac:dyDescent="0.3">
      <c r="A185" t="s">
        <v>486</v>
      </c>
      <c r="B185" s="4" t="s">
        <v>487</v>
      </c>
      <c r="C185" t="s">
        <v>60</v>
      </c>
      <c r="D185" t="s">
        <v>61</v>
      </c>
      <c r="E185" t="s">
        <v>67</v>
      </c>
      <c r="F185" t="s">
        <v>23</v>
      </c>
      <c r="G185" t="s">
        <v>34</v>
      </c>
      <c r="H185" t="s">
        <v>62</v>
      </c>
      <c r="I185" t="s">
        <v>47</v>
      </c>
      <c r="J185" t="s">
        <v>119</v>
      </c>
      <c r="K185" t="s">
        <v>208</v>
      </c>
      <c r="L185" s="8">
        <v>1</v>
      </c>
      <c r="M185" s="12">
        <v>600</v>
      </c>
      <c r="N185" s="10">
        <v>0</v>
      </c>
      <c r="O185" s="12">
        <v>600</v>
      </c>
      <c r="P185" s="12">
        <v>60.64</v>
      </c>
      <c r="Q185" s="12">
        <v>250.25</v>
      </c>
      <c r="R185" t="s">
        <v>64</v>
      </c>
      <c r="U185" s="12">
        <f>Table2[[#This Row],[Quantity]]*Table2[[#This Row],[Unit_Price]]*(1-Table2[[#This Row],[ Discount]])</f>
        <v>600</v>
      </c>
      <c r="V185" s="10">
        <f>Table2[[#This Row],[Profit]]/Table2[[#This Row],[Sales_Amount]]</f>
        <v>0.10106666666666667</v>
      </c>
      <c r="W185" t="str">
        <f>IF(Table2[[#This Row],[Sales_Amount]]&gt;10000,"High Value","Normal")</f>
        <v>Normal</v>
      </c>
      <c r="X185" t="str">
        <f t="shared" si="6"/>
        <v>No Discount</v>
      </c>
      <c r="Y185" s="25">
        <f t="shared" si="7"/>
        <v>45505</v>
      </c>
      <c r="Z185">
        <f t="shared" si="8"/>
        <v>2024</v>
      </c>
    </row>
    <row r="186" spans="1:26" x14ac:dyDescent="0.3">
      <c r="A186" t="s">
        <v>488</v>
      </c>
      <c r="B186" s="4" t="s">
        <v>489</v>
      </c>
      <c r="C186" t="s">
        <v>242</v>
      </c>
      <c r="D186" t="s">
        <v>243</v>
      </c>
      <c r="E186" t="s">
        <v>67</v>
      </c>
      <c r="F186" t="s">
        <v>106</v>
      </c>
      <c r="G186" t="s">
        <v>306</v>
      </c>
      <c r="H186" t="s">
        <v>366</v>
      </c>
      <c r="I186" t="s">
        <v>36</v>
      </c>
      <c r="J186" t="s">
        <v>113</v>
      </c>
      <c r="K186" t="s">
        <v>262</v>
      </c>
      <c r="L186" s="8">
        <v>4</v>
      </c>
      <c r="M186" s="12">
        <v>2500</v>
      </c>
      <c r="N186" s="10">
        <v>0</v>
      </c>
      <c r="O186" s="12">
        <v>10000</v>
      </c>
      <c r="P186" s="12">
        <v>2517.7399999999998</v>
      </c>
      <c r="Q186" s="12">
        <v>77.260000000000005</v>
      </c>
      <c r="R186" t="s">
        <v>64</v>
      </c>
      <c r="U186" s="12">
        <f>Table2[[#This Row],[Quantity]]*Table2[[#This Row],[Unit_Price]]*(1-Table2[[#This Row],[ Discount]])</f>
        <v>10000</v>
      </c>
      <c r="V186" s="10">
        <f>Table2[[#This Row],[Profit]]/Table2[[#This Row],[Sales_Amount]]</f>
        <v>0.251774</v>
      </c>
      <c r="W186" t="str">
        <f>IF(Table2[[#This Row],[Sales_Amount]]&gt;10000,"High Value","Normal")</f>
        <v>Normal</v>
      </c>
      <c r="X186" t="str">
        <f t="shared" si="6"/>
        <v>No Discount</v>
      </c>
      <c r="Y186" s="25">
        <f t="shared" si="7"/>
        <v>45505</v>
      </c>
      <c r="Z186">
        <f t="shared" si="8"/>
        <v>2024</v>
      </c>
    </row>
    <row r="187" spans="1:26" x14ac:dyDescent="0.3">
      <c r="A187" t="s">
        <v>490</v>
      </c>
      <c r="B187" s="4" t="s">
        <v>449</v>
      </c>
      <c r="C187" t="s">
        <v>32</v>
      </c>
      <c r="D187" t="s">
        <v>33</v>
      </c>
      <c r="E187" t="s">
        <v>22</v>
      </c>
      <c r="F187" t="s">
        <v>44</v>
      </c>
      <c r="G187" t="s">
        <v>216</v>
      </c>
      <c r="H187" t="s">
        <v>217</v>
      </c>
      <c r="I187" t="s">
        <v>36</v>
      </c>
      <c r="J187" t="s">
        <v>113</v>
      </c>
      <c r="K187" t="s">
        <v>220</v>
      </c>
      <c r="L187" s="8">
        <v>5</v>
      </c>
      <c r="M187" s="12">
        <v>1800</v>
      </c>
      <c r="N187" s="10">
        <v>0</v>
      </c>
      <c r="O187" s="12">
        <v>9000</v>
      </c>
      <c r="P187" s="12">
        <v>1086.24</v>
      </c>
      <c r="Q187" s="12">
        <v>54.31</v>
      </c>
      <c r="R187" t="s">
        <v>39</v>
      </c>
      <c r="U187" s="12">
        <f>Table2[[#This Row],[Quantity]]*Table2[[#This Row],[Unit_Price]]*(1-Table2[[#This Row],[ Discount]])</f>
        <v>9000</v>
      </c>
      <c r="V187" s="10">
        <f>Table2[[#This Row],[Profit]]/Table2[[#This Row],[Sales_Amount]]</f>
        <v>0.12069333333333333</v>
      </c>
      <c r="W187" t="str">
        <f>IF(Table2[[#This Row],[Sales_Amount]]&gt;10000,"High Value","Normal")</f>
        <v>Normal</v>
      </c>
      <c r="X187" t="str">
        <f t="shared" si="6"/>
        <v>No Discount</v>
      </c>
      <c r="Y187" s="25">
        <f t="shared" si="7"/>
        <v>45505</v>
      </c>
      <c r="Z187">
        <f t="shared" si="8"/>
        <v>2024</v>
      </c>
    </row>
    <row r="188" spans="1:26" x14ac:dyDescent="0.3">
      <c r="A188" t="s">
        <v>491</v>
      </c>
      <c r="B188" s="4" t="s">
        <v>492</v>
      </c>
      <c r="C188" t="s">
        <v>32</v>
      </c>
      <c r="D188" t="s">
        <v>33</v>
      </c>
      <c r="E188" t="s">
        <v>22</v>
      </c>
      <c r="F188" t="s">
        <v>44</v>
      </c>
      <c r="G188" t="s">
        <v>216</v>
      </c>
      <c r="H188" t="s">
        <v>316</v>
      </c>
      <c r="I188" t="s">
        <v>47</v>
      </c>
      <c r="J188" t="s">
        <v>85</v>
      </c>
      <c r="K188" t="s">
        <v>86</v>
      </c>
      <c r="L188" s="8">
        <v>4</v>
      </c>
      <c r="M188" s="12">
        <v>3500</v>
      </c>
      <c r="N188" s="10">
        <v>0</v>
      </c>
      <c r="O188" s="12">
        <v>14000</v>
      </c>
      <c r="P188" s="12">
        <v>3225.61</v>
      </c>
      <c r="Q188" s="12">
        <v>111.22</v>
      </c>
      <c r="R188" t="s">
        <v>39</v>
      </c>
      <c r="U188" s="12">
        <f>Table2[[#This Row],[Quantity]]*Table2[[#This Row],[Unit_Price]]*(1-Table2[[#This Row],[ Discount]])</f>
        <v>14000</v>
      </c>
      <c r="V188" s="10">
        <f>Table2[[#This Row],[Profit]]/Table2[[#This Row],[Sales_Amount]]</f>
        <v>0.23040071428571429</v>
      </c>
      <c r="W188" t="str">
        <f>IF(Table2[[#This Row],[Sales_Amount]]&gt;10000,"High Value","Normal")</f>
        <v>High Value</v>
      </c>
      <c r="X188" t="str">
        <f t="shared" si="6"/>
        <v>No Discount</v>
      </c>
      <c r="Y188" s="25">
        <f t="shared" si="7"/>
        <v>45536</v>
      </c>
      <c r="Z188">
        <f t="shared" si="8"/>
        <v>2024</v>
      </c>
    </row>
    <row r="189" spans="1:26" x14ac:dyDescent="0.3">
      <c r="A189" t="s">
        <v>493</v>
      </c>
      <c r="B189" s="4" t="s">
        <v>494</v>
      </c>
      <c r="C189" t="s">
        <v>166</v>
      </c>
      <c r="D189" t="s">
        <v>167</v>
      </c>
      <c r="E189" t="s">
        <v>67</v>
      </c>
      <c r="F189" t="s">
        <v>44</v>
      </c>
      <c r="G189" t="s">
        <v>216</v>
      </c>
      <c r="H189" t="s">
        <v>316</v>
      </c>
      <c r="I189" t="s">
        <v>47</v>
      </c>
      <c r="J189" t="s">
        <v>119</v>
      </c>
      <c r="K189" t="s">
        <v>310</v>
      </c>
      <c r="L189" s="8">
        <v>5</v>
      </c>
      <c r="M189" s="12">
        <v>1500</v>
      </c>
      <c r="N189" s="10">
        <v>0.2</v>
      </c>
      <c r="O189" s="12">
        <v>6000</v>
      </c>
      <c r="P189" s="12">
        <v>824.18</v>
      </c>
      <c r="Q189" s="12">
        <v>498.8</v>
      </c>
      <c r="R189" t="s">
        <v>57</v>
      </c>
      <c r="U189" s="12">
        <f>Table2[[#This Row],[Quantity]]*Table2[[#This Row],[Unit_Price]]*(1-Table2[[#This Row],[ Discount]])</f>
        <v>6000</v>
      </c>
      <c r="V189" s="10">
        <f>Table2[[#This Row],[Profit]]/Table2[[#This Row],[Sales_Amount]]</f>
        <v>0.13736333333333334</v>
      </c>
      <c r="W189" t="str">
        <f>IF(Table2[[#This Row],[Sales_Amount]]&gt;10000,"High Value","Normal")</f>
        <v>Normal</v>
      </c>
      <c r="X189" t="str">
        <f t="shared" si="6"/>
        <v>High</v>
      </c>
      <c r="Y189" s="25">
        <f t="shared" si="7"/>
        <v>45536</v>
      </c>
      <c r="Z189">
        <f t="shared" si="8"/>
        <v>2024</v>
      </c>
    </row>
    <row r="190" spans="1:26" x14ac:dyDescent="0.3">
      <c r="A190" t="s">
        <v>495</v>
      </c>
      <c r="B190" s="4" t="s">
        <v>496</v>
      </c>
      <c r="C190" t="s">
        <v>157</v>
      </c>
      <c r="D190" t="s">
        <v>158</v>
      </c>
      <c r="E190" t="s">
        <v>52</v>
      </c>
      <c r="F190" t="s">
        <v>53</v>
      </c>
      <c r="G190" t="s">
        <v>83</v>
      </c>
      <c r="H190" t="s">
        <v>129</v>
      </c>
      <c r="I190" t="s">
        <v>26</v>
      </c>
      <c r="J190" t="s">
        <v>91</v>
      </c>
      <c r="K190" t="s">
        <v>109</v>
      </c>
      <c r="L190" s="8">
        <v>2</v>
      </c>
      <c r="M190" s="12">
        <v>8000</v>
      </c>
      <c r="N190" s="10">
        <v>0.2</v>
      </c>
      <c r="O190" s="12">
        <v>12800</v>
      </c>
      <c r="P190" s="12">
        <v>2951.36</v>
      </c>
      <c r="Q190" s="12">
        <v>234.61</v>
      </c>
      <c r="R190" t="s">
        <v>39</v>
      </c>
      <c r="U190" s="12">
        <f>Table2[[#This Row],[Quantity]]*Table2[[#This Row],[Unit_Price]]*(1-Table2[[#This Row],[ Discount]])</f>
        <v>12800</v>
      </c>
      <c r="V190" s="10">
        <f>Table2[[#This Row],[Profit]]/Table2[[#This Row],[Sales_Amount]]</f>
        <v>0.230575</v>
      </c>
      <c r="W190" t="str">
        <f>IF(Table2[[#This Row],[Sales_Amount]]&gt;10000,"High Value","Normal")</f>
        <v>High Value</v>
      </c>
      <c r="X190" t="str">
        <f t="shared" si="6"/>
        <v>High</v>
      </c>
      <c r="Y190" s="25">
        <f t="shared" si="7"/>
        <v>45536</v>
      </c>
      <c r="Z190">
        <f t="shared" si="8"/>
        <v>2024</v>
      </c>
    </row>
    <row r="191" spans="1:26" x14ac:dyDescent="0.3">
      <c r="A191" t="s">
        <v>497</v>
      </c>
      <c r="B191" s="4" t="s">
        <v>498</v>
      </c>
      <c r="C191" t="s">
        <v>89</v>
      </c>
      <c r="D191" t="s">
        <v>90</v>
      </c>
      <c r="E191" t="s">
        <v>67</v>
      </c>
      <c r="F191" t="s">
        <v>44</v>
      </c>
      <c r="G191" t="s">
        <v>216</v>
      </c>
      <c r="H191" t="s">
        <v>266</v>
      </c>
      <c r="I191" t="s">
        <v>36</v>
      </c>
      <c r="J191" t="s">
        <v>113</v>
      </c>
      <c r="K191" t="s">
        <v>159</v>
      </c>
      <c r="L191" s="8">
        <v>1</v>
      </c>
      <c r="M191" s="12">
        <v>1500</v>
      </c>
      <c r="N191" s="10">
        <v>0.15</v>
      </c>
      <c r="O191" s="12">
        <v>1275</v>
      </c>
      <c r="P191" s="12">
        <v>237.19</v>
      </c>
      <c r="Q191" s="12">
        <v>322.04000000000002</v>
      </c>
      <c r="R191" t="s">
        <v>64</v>
      </c>
      <c r="U191" s="12">
        <f>Table2[[#This Row],[Quantity]]*Table2[[#This Row],[Unit_Price]]*(1-Table2[[#This Row],[ Discount]])</f>
        <v>1275</v>
      </c>
      <c r="V191" s="10">
        <f>Table2[[#This Row],[Profit]]/Table2[[#This Row],[Sales_Amount]]</f>
        <v>0.18603137254901961</v>
      </c>
      <c r="W191" t="str">
        <f>IF(Table2[[#This Row],[Sales_Amount]]&gt;10000,"High Value","Normal")</f>
        <v>Normal</v>
      </c>
      <c r="X191" t="str">
        <f t="shared" si="6"/>
        <v>High</v>
      </c>
      <c r="Y191" s="25">
        <f t="shared" si="7"/>
        <v>45536</v>
      </c>
      <c r="Z191">
        <f t="shared" si="8"/>
        <v>2024</v>
      </c>
    </row>
    <row r="192" spans="1:26" x14ac:dyDescent="0.3">
      <c r="A192" t="s">
        <v>499</v>
      </c>
      <c r="B192" s="4" t="s">
        <v>500</v>
      </c>
      <c r="C192" t="s">
        <v>104</v>
      </c>
      <c r="D192" t="s">
        <v>105</v>
      </c>
      <c r="E192" t="s">
        <v>52</v>
      </c>
      <c r="F192" t="s">
        <v>44</v>
      </c>
      <c r="G192" t="s">
        <v>216</v>
      </c>
      <c r="H192" t="s">
        <v>217</v>
      </c>
      <c r="I192" t="s">
        <v>36</v>
      </c>
      <c r="J192" t="s">
        <v>140</v>
      </c>
      <c r="K192" t="s">
        <v>168</v>
      </c>
      <c r="L192" s="8">
        <v>2</v>
      </c>
      <c r="M192" s="12">
        <v>1800</v>
      </c>
      <c r="N192" s="10">
        <v>0.2</v>
      </c>
      <c r="O192" s="12">
        <v>2880</v>
      </c>
      <c r="P192" s="12">
        <v>796.66</v>
      </c>
      <c r="Q192" s="12">
        <v>122.17</v>
      </c>
      <c r="R192" t="s">
        <v>57</v>
      </c>
      <c r="U192" s="12">
        <f>Table2[[#This Row],[Quantity]]*Table2[[#This Row],[Unit_Price]]*(1-Table2[[#This Row],[ Discount]])</f>
        <v>2880</v>
      </c>
      <c r="V192" s="10">
        <f>Table2[[#This Row],[Profit]]/Table2[[#This Row],[Sales_Amount]]</f>
        <v>0.27661805555555552</v>
      </c>
      <c r="W192" t="str">
        <f>IF(Table2[[#This Row],[Sales_Amount]]&gt;10000,"High Value","Normal")</f>
        <v>Normal</v>
      </c>
      <c r="X192" t="str">
        <f t="shared" si="6"/>
        <v>High</v>
      </c>
      <c r="Y192" s="25">
        <f t="shared" si="7"/>
        <v>45536</v>
      </c>
      <c r="Z192">
        <f t="shared" si="8"/>
        <v>2024</v>
      </c>
    </row>
    <row r="193" spans="1:26" x14ac:dyDescent="0.3">
      <c r="A193" t="s">
        <v>501</v>
      </c>
      <c r="B193" s="4" t="s">
        <v>492</v>
      </c>
      <c r="C193" t="s">
        <v>32</v>
      </c>
      <c r="D193" t="s">
        <v>33</v>
      </c>
      <c r="E193" t="s">
        <v>22</v>
      </c>
      <c r="F193" t="s">
        <v>44</v>
      </c>
      <c r="G193" t="s">
        <v>216</v>
      </c>
      <c r="H193" t="s">
        <v>316</v>
      </c>
      <c r="I193" t="s">
        <v>36</v>
      </c>
      <c r="J193" t="s">
        <v>113</v>
      </c>
      <c r="K193" t="s">
        <v>114</v>
      </c>
      <c r="L193" s="8">
        <v>4</v>
      </c>
      <c r="M193" s="12">
        <v>600</v>
      </c>
      <c r="N193" s="10">
        <v>0.2</v>
      </c>
      <c r="O193" s="12">
        <v>1920</v>
      </c>
      <c r="P193" s="12">
        <v>191.04</v>
      </c>
      <c r="Q193" s="12">
        <v>410.86</v>
      </c>
      <c r="R193" t="s">
        <v>64</v>
      </c>
      <c r="U193" s="12">
        <f>Table2[[#This Row],[Quantity]]*Table2[[#This Row],[Unit_Price]]*(1-Table2[[#This Row],[ Discount]])</f>
        <v>1920</v>
      </c>
      <c r="V193" s="10">
        <f>Table2[[#This Row],[Profit]]/Table2[[#This Row],[Sales_Amount]]</f>
        <v>9.9499999999999991E-2</v>
      </c>
      <c r="W193" t="str">
        <f>IF(Table2[[#This Row],[Sales_Amount]]&gt;10000,"High Value","Normal")</f>
        <v>Normal</v>
      </c>
      <c r="X193" t="str">
        <f t="shared" si="6"/>
        <v>High</v>
      </c>
      <c r="Y193" s="25">
        <f t="shared" si="7"/>
        <v>45536</v>
      </c>
      <c r="Z193">
        <f t="shared" si="8"/>
        <v>2024</v>
      </c>
    </row>
    <row r="194" spans="1:26" x14ac:dyDescent="0.3">
      <c r="A194" t="s">
        <v>502</v>
      </c>
      <c r="B194" s="4" t="s">
        <v>503</v>
      </c>
      <c r="C194" t="s">
        <v>147</v>
      </c>
      <c r="D194" t="s">
        <v>148</v>
      </c>
      <c r="E194" t="s">
        <v>52</v>
      </c>
      <c r="F194" t="s">
        <v>23</v>
      </c>
      <c r="G194" t="s">
        <v>24</v>
      </c>
      <c r="H194" t="s">
        <v>68</v>
      </c>
      <c r="I194" t="s">
        <v>47</v>
      </c>
      <c r="J194" t="s">
        <v>85</v>
      </c>
      <c r="K194" t="s">
        <v>289</v>
      </c>
      <c r="L194" s="8">
        <v>4</v>
      </c>
      <c r="M194" s="12">
        <v>2200</v>
      </c>
      <c r="N194" s="10">
        <v>0</v>
      </c>
      <c r="O194" s="12">
        <v>8800</v>
      </c>
      <c r="P194" s="12">
        <v>770.56</v>
      </c>
      <c r="Q194" s="12">
        <v>437.04</v>
      </c>
      <c r="R194" t="s">
        <v>39</v>
      </c>
      <c r="U194" s="12">
        <f>Table2[[#This Row],[Quantity]]*Table2[[#This Row],[Unit_Price]]*(1-Table2[[#This Row],[ Discount]])</f>
        <v>8800</v>
      </c>
      <c r="V194" s="10">
        <f>Table2[[#This Row],[Profit]]/Table2[[#This Row],[Sales_Amount]]</f>
        <v>8.7563636363636357E-2</v>
      </c>
      <c r="W194" t="str">
        <f>IF(Table2[[#This Row],[Sales_Amount]]&gt;10000,"High Value","Normal")</f>
        <v>Normal</v>
      </c>
      <c r="X194" t="str">
        <f t="shared" si="6"/>
        <v>No Discount</v>
      </c>
      <c r="Y194" s="25">
        <f t="shared" si="7"/>
        <v>45536</v>
      </c>
      <c r="Z194">
        <f t="shared" si="8"/>
        <v>2024</v>
      </c>
    </row>
    <row r="195" spans="1:26" x14ac:dyDescent="0.3">
      <c r="A195" t="s">
        <v>504</v>
      </c>
      <c r="B195" s="4" t="s">
        <v>496</v>
      </c>
      <c r="C195" t="s">
        <v>211</v>
      </c>
      <c r="D195" t="s">
        <v>212</v>
      </c>
      <c r="E195" t="s">
        <v>52</v>
      </c>
      <c r="F195" t="s">
        <v>44</v>
      </c>
      <c r="G195" t="s">
        <v>45</v>
      </c>
      <c r="H195" t="s">
        <v>124</v>
      </c>
      <c r="I195" t="s">
        <v>47</v>
      </c>
      <c r="J195" t="s">
        <v>119</v>
      </c>
      <c r="K195" t="s">
        <v>208</v>
      </c>
      <c r="L195" s="8">
        <v>5</v>
      </c>
      <c r="M195" s="12">
        <v>600</v>
      </c>
      <c r="N195" s="10">
        <v>0.15</v>
      </c>
      <c r="O195" s="12">
        <v>2550</v>
      </c>
      <c r="P195" s="12">
        <v>409.58</v>
      </c>
      <c r="Q195" s="12">
        <v>167.65</v>
      </c>
      <c r="R195" t="s">
        <v>39</v>
      </c>
      <c r="U195" s="12">
        <f>Table2[[#This Row],[Quantity]]*Table2[[#This Row],[Unit_Price]]*(1-Table2[[#This Row],[ Discount]])</f>
        <v>2550</v>
      </c>
      <c r="V195" s="10">
        <f>Table2[[#This Row],[Profit]]/Table2[[#This Row],[Sales_Amount]]</f>
        <v>0.16061960784313725</v>
      </c>
      <c r="W195" t="str">
        <f>IF(Table2[[#This Row],[Sales_Amount]]&gt;10000,"High Value","Normal")</f>
        <v>Normal</v>
      </c>
      <c r="X195" t="str">
        <f t="shared" ref="X195:X258" si="9">IF(N195=0,"No Discount",IF(N195&lt;=0.05,"Low",IF(N195&lt;=0.1,"Medium","High")))</f>
        <v>High</v>
      </c>
      <c r="Y195" s="25">
        <f t="shared" ref="Y195:Y258" si="10">DATE(YEAR(B195),MONTH(B195),1)</f>
        <v>45536</v>
      </c>
      <c r="Z195">
        <f t="shared" ref="Z195:Z258" si="11">YEAR(B195)</f>
        <v>2024</v>
      </c>
    </row>
    <row r="196" spans="1:26" x14ac:dyDescent="0.3">
      <c r="A196" t="s">
        <v>505</v>
      </c>
      <c r="B196" s="4" t="s">
        <v>506</v>
      </c>
      <c r="C196" t="s">
        <v>127</v>
      </c>
      <c r="D196" t="s">
        <v>128</v>
      </c>
      <c r="E196" t="s">
        <v>52</v>
      </c>
      <c r="F196" t="s">
        <v>106</v>
      </c>
      <c r="G196" t="s">
        <v>107</v>
      </c>
      <c r="H196" t="s">
        <v>139</v>
      </c>
      <c r="I196" t="s">
        <v>26</v>
      </c>
      <c r="J196" t="s">
        <v>69</v>
      </c>
      <c r="K196" t="s">
        <v>131</v>
      </c>
      <c r="L196" s="8">
        <v>4</v>
      </c>
      <c r="M196" s="12">
        <v>115000</v>
      </c>
      <c r="N196" s="10">
        <v>0</v>
      </c>
      <c r="O196" s="12">
        <v>460000</v>
      </c>
      <c r="P196" s="12">
        <v>65845.62</v>
      </c>
      <c r="Q196" s="12">
        <v>352.17</v>
      </c>
      <c r="R196" t="s">
        <v>57</v>
      </c>
      <c r="U196" s="12">
        <f>Table2[[#This Row],[Quantity]]*Table2[[#This Row],[Unit_Price]]*(1-Table2[[#This Row],[ Discount]])</f>
        <v>460000</v>
      </c>
      <c r="V196" s="10">
        <f>Table2[[#This Row],[Profit]]/Table2[[#This Row],[Sales_Amount]]</f>
        <v>0.14314265217391303</v>
      </c>
      <c r="W196" t="str">
        <f>IF(Table2[[#This Row],[Sales_Amount]]&gt;10000,"High Value","Normal")</f>
        <v>High Value</v>
      </c>
      <c r="X196" t="str">
        <f t="shared" si="9"/>
        <v>No Discount</v>
      </c>
      <c r="Y196" s="25">
        <f t="shared" si="10"/>
        <v>45536</v>
      </c>
      <c r="Z196">
        <f t="shared" si="11"/>
        <v>2024</v>
      </c>
    </row>
    <row r="197" spans="1:26" x14ac:dyDescent="0.3">
      <c r="A197" t="s">
        <v>507</v>
      </c>
      <c r="B197" s="4" t="s">
        <v>508</v>
      </c>
      <c r="C197" t="s">
        <v>157</v>
      </c>
      <c r="D197" t="s">
        <v>158</v>
      </c>
      <c r="E197" t="s">
        <v>67</v>
      </c>
      <c r="F197" t="s">
        <v>23</v>
      </c>
      <c r="G197" t="s">
        <v>24</v>
      </c>
      <c r="H197" t="s">
        <v>351</v>
      </c>
      <c r="I197" t="s">
        <v>36</v>
      </c>
      <c r="J197" t="s">
        <v>113</v>
      </c>
      <c r="K197" t="s">
        <v>159</v>
      </c>
      <c r="L197" s="8">
        <v>1</v>
      </c>
      <c r="M197" s="12">
        <v>1500</v>
      </c>
      <c r="N197" s="10">
        <v>0.2</v>
      </c>
      <c r="O197" s="12">
        <v>1200</v>
      </c>
      <c r="P197" s="12">
        <v>167.46</v>
      </c>
      <c r="Q197" s="12">
        <v>128.51</v>
      </c>
      <c r="R197" t="s">
        <v>64</v>
      </c>
      <c r="U197" s="12">
        <f>Table2[[#This Row],[Quantity]]*Table2[[#This Row],[Unit_Price]]*(1-Table2[[#This Row],[ Discount]])</f>
        <v>1200</v>
      </c>
      <c r="V197" s="10">
        <f>Table2[[#This Row],[Profit]]/Table2[[#This Row],[Sales_Amount]]</f>
        <v>0.13955000000000001</v>
      </c>
      <c r="W197" t="str">
        <f>IF(Table2[[#This Row],[Sales_Amount]]&gt;10000,"High Value","Normal")</f>
        <v>Normal</v>
      </c>
      <c r="X197" t="str">
        <f t="shared" si="9"/>
        <v>High</v>
      </c>
      <c r="Y197" s="25">
        <f t="shared" si="10"/>
        <v>45536</v>
      </c>
      <c r="Z197">
        <f t="shared" si="11"/>
        <v>2024</v>
      </c>
    </row>
    <row r="198" spans="1:26" x14ac:dyDescent="0.3">
      <c r="A198" t="s">
        <v>509</v>
      </c>
      <c r="B198" s="4" t="s">
        <v>510</v>
      </c>
      <c r="C198" t="s">
        <v>171</v>
      </c>
      <c r="D198" t="s">
        <v>172</v>
      </c>
      <c r="E198" t="s">
        <v>52</v>
      </c>
      <c r="F198" t="s">
        <v>106</v>
      </c>
      <c r="G198" t="s">
        <v>107</v>
      </c>
      <c r="H198" t="s">
        <v>108</v>
      </c>
      <c r="I198" t="s">
        <v>36</v>
      </c>
      <c r="J198" t="s">
        <v>37</v>
      </c>
      <c r="K198" t="s">
        <v>371</v>
      </c>
      <c r="L198" s="8">
        <v>5</v>
      </c>
      <c r="M198" s="12">
        <v>4500</v>
      </c>
      <c r="N198" s="10">
        <v>0.2</v>
      </c>
      <c r="O198" s="12">
        <v>18000</v>
      </c>
      <c r="P198" s="12">
        <v>2204.65</v>
      </c>
      <c r="Q198" s="12">
        <v>105.03</v>
      </c>
      <c r="R198" t="s">
        <v>39</v>
      </c>
      <c r="U198" s="12">
        <f>Table2[[#This Row],[Quantity]]*Table2[[#This Row],[Unit_Price]]*(1-Table2[[#This Row],[ Discount]])</f>
        <v>18000</v>
      </c>
      <c r="V198" s="10">
        <f>Table2[[#This Row],[Profit]]/Table2[[#This Row],[Sales_Amount]]</f>
        <v>0.12248055555555556</v>
      </c>
      <c r="W198" t="str">
        <f>IF(Table2[[#This Row],[Sales_Amount]]&gt;10000,"High Value","Normal")</f>
        <v>High Value</v>
      </c>
      <c r="X198" t="str">
        <f t="shared" si="9"/>
        <v>High</v>
      </c>
      <c r="Y198" s="25">
        <f t="shared" si="10"/>
        <v>45536</v>
      </c>
      <c r="Z198">
        <f t="shared" si="11"/>
        <v>2024</v>
      </c>
    </row>
    <row r="199" spans="1:26" x14ac:dyDescent="0.3">
      <c r="A199" t="s">
        <v>511</v>
      </c>
      <c r="B199" s="4" t="s">
        <v>503</v>
      </c>
      <c r="C199" t="s">
        <v>117</v>
      </c>
      <c r="D199" t="s">
        <v>118</v>
      </c>
      <c r="E199" t="s">
        <v>22</v>
      </c>
      <c r="F199" t="s">
        <v>53</v>
      </c>
      <c r="G199" t="s">
        <v>100</v>
      </c>
      <c r="H199" t="s">
        <v>101</v>
      </c>
      <c r="I199" t="s">
        <v>26</v>
      </c>
      <c r="J199" t="s">
        <v>27</v>
      </c>
      <c r="K199" t="s">
        <v>358</v>
      </c>
      <c r="L199" s="8">
        <v>2</v>
      </c>
      <c r="M199" s="12">
        <v>22000</v>
      </c>
      <c r="N199" s="10">
        <v>0</v>
      </c>
      <c r="O199" s="12">
        <v>44000</v>
      </c>
      <c r="P199" s="12">
        <v>9369.33</v>
      </c>
      <c r="Q199" s="12">
        <v>405.71</v>
      </c>
      <c r="R199" t="s">
        <v>39</v>
      </c>
      <c r="U199" s="12">
        <f>Table2[[#This Row],[Quantity]]*Table2[[#This Row],[Unit_Price]]*(1-Table2[[#This Row],[ Discount]])</f>
        <v>44000</v>
      </c>
      <c r="V199" s="10">
        <f>Table2[[#This Row],[Profit]]/Table2[[#This Row],[Sales_Amount]]</f>
        <v>0.21293931818181819</v>
      </c>
      <c r="W199" t="str">
        <f>IF(Table2[[#This Row],[Sales_Amount]]&gt;10000,"High Value","Normal")</f>
        <v>High Value</v>
      </c>
      <c r="X199" t="str">
        <f t="shared" si="9"/>
        <v>No Discount</v>
      </c>
      <c r="Y199" s="25">
        <f t="shared" si="10"/>
        <v>45536</v>
      </c>
      <c r="Z199">
        <f t="shared" si="11"/>
        <v>2024</v>
      </c>
    </row>
    <row r="200" spans="1:26" x14ac:dyDescent="0.3">
      <c r="A200" t="s">
        <v>512</v>
      </c>
      <c r="B200" s="4" t="s">
        <v>498</v>
      </c>
      <c r="C200" t="s">
        <v>206</v>
      </c>
      <c r="D200" t="s">
        <v>207</v>
      </c>
      <c r="E200" t="s">
        <v>67</v>
      </c>
      <c r="F200" t="s">
        <v>23</v>
      </c>
      <c r="G200" t="s">
        <v>24</v>
      </c>
      <c r="H200" t="s">
        <v>25</v>
      </c>
      <c r="I200" t="s">
        <v>36</v>
      </c>
      <c r="J200" t="s">
        <v>113</v>
      </c>
      <c r="K200" t="s">
        <v>220</v>
      </c>
      <c r="L200" s="8">
        <v>5</v>
      </c>
      <c r="M200" s="12">
        <v>1800</v>
      </c>
      <c r="N200" s="10">
        <v>0.2</v>
      </c>
      <c r="O200" s="12">
        <v>7200</v>
      </c>
      <c r="P200" s="12">
        <v>1214.3599999999999</v>
      </c>
      <c r="Q200" s="12">
        <v>310.86</v>
      </c>
      <c r="R200" t="s">
        <v>29</v>
      </c>
      <c r="U200" s="12">
        <f>Table2[[#This Row],[Quantity]]*Table2[[#This Row],[Unit_Price]]*(1-Table2[[#This Row],[ Discount]])</f>
        <v>7200</v>
      </c>
      <c r="V200" s="10">
        <f>Table2[[#This Row],[Profit]]/Table2[[#This Row],[Sales_Amount]]</f>
        <v>0.16866111111111109</v>
      </c>
      <c r="W200" t="str">
        <f>IF(Table2[[#This Row],[Sales_Amount]]&gt;10000,"High Value","Normal")</f>
        <v>Normal</v>
      </c>
      <c r="X200" t="str">
        <f t="shared" si="9"/>
        <v>High</v>
      </c>
      <c r="Y200" s="25">
        <f t="shared" si="10"/>
        <v>45536</v>
      </c>
      <c r="Z200">
        <f t="shared" si="11"/>
        <v>2024</v>
      </c>
    </row>
    <row r="201" spans="1:26" x14ac:dyDescent="0.3">
      <c r="A201" t="s">
        <v>513</v>
      </c>
      <c r="B201" s="4" t="s">
        <v>500</v>
      </c>
      <c r="C201" t="s">
        <v>117</v>
      </c>
      <c r="D201" t="s">
        <v>118</v>
      </c>
      <c r="E201" t="s">
        <v>52</v>
      </c>
      <c r="F201" t="s">
        <v>106</v>
      </c>
      <c r="G201" t="s">
        <v>149</v>
      </c>
      <c r="H201" t="s">
        <v>150</v>
      </c>
      <c r="I201" t="s">
        <v>47</v>
      </c>
      <c r="J201" t="s">
        <v>48</v>
      </c>
      <c r="K201" t="s">
        <v>407</v>
      </c>
      <c r="L201" s="8">
        <v>3</v>
      </c>
      <c r="M201" s="12">
        <v>1200</v>
      </c>
      <c r="N201" s="10">
        <v>0.15</v>
      </c>
      <c r="O201" s="12">
        <v>3060</v>
      </c>
      <c r="P201" s="12">
        <v>659.96</v>
      </c>
      <c r="Q201" s="12">
        <v>430.16</v>
      </c>
      <c r="R201" t="s">
        <v>29</v>
      </c>
      <c r="U201" s="12">
        <f>Table2[[#This Row],[Quantity]]*Table2[[#This Row],[Unit_Price]]*(1-Table2[[#This Row],[ Discount]])</f>
        <v>3060</v>
      </c>
      <c r="V201" s="10">
        <f>Table2[[#This Row],[Profit]]/Table2[[#This Row],[Sales_Amount]]</f>
        <v>0.21567320261437908</v>
      </c>
      <c r="W201" t="str">
        <f>IF(Table2[[#This Row],[Sales_Amount]]&gt;10000,"High Value","Normal")</f>
        <v>Normal</v>
      </c>
      <c r="X201" t="str">
        <f t="shared" si="9"/>
        <v>High</v>
      </c>
      <c r="Y201" s="25">
        <f t="shared" si="10"/>
        <v>45536</v>
      </c>
      <c r="Z201">
        <f t="shared" si="11"/>
        <v>2024</v>
      </c>
    </row>
    <row r="202" spans="1:26" x14ac:dyDescent="0.3">
      <c r="A202" t="s">
        <v>514</v>
      </c>
      <c r="B202" s="4" t="s">
        <v>515</v>
      </c>
      <c r="C202" t="s">
        <v>42</v>
      </c>
      <c r="D202" t="s">
        <v>43</v>
      </c>
      <c r="E202" t="s">
        <v>67</v>
      </c>
      <c r="F202" t="s">
        <v>23</v>
      </c>
      <c r="G202" t="s">
        <v>34</v>
      </c>
      <c r="H202" t="s">
        <v>239</v>
      </c>
      <c r="I202" t="s">
        <v>47</v>
      </c>
      <c r="J202" t="s">
        <v>48</v>
      </c>
      <c r="K202" t="s">
        <v>63</v>
      </c>
      <c r="L202" s="8">
        <v>5</v>
      </c>
      <c r="M202" s="12">
        <v>2800</v>
      </c>
      <c r="N202" s="10">
        <v>0</v>
      </c>
      <c r="O202" s="12">
        <v>14000</v>
      </c>
      <c r="P202" s="12">
        <v>1355.35</v>
      </c>
      <c r="Q202" s="12">
        <v>197.41</v>
      </c>
      <c r="R202" t="s">
        <v>29</v>
      </c>
      <c r="U202" s="12">
        <f>Table2[[#This Row],[Quantity]]*Table2[[#This Row],[Unit_Price]]*(1-Table2[[#This Row],[ Discount]])</f>
        <v>14000</v>
      </c>
      <c r="V202" s="10">
        <f>Table2[[#This Row],[Profit]]/Table2[[#This Row],[Sales_Amount]]</f>
        <v>9.6810714285714278E-2</v>
      </c>
      <c r="W202" t="str">
        <f>IF(Table2[[#This Row],[Sales_Amount]]&gt;10000,"High Value","Normal")</f>
        <v>High Value</v>
      </c>
      <c r="X202" t="str">
        <f t="shared" si="9"/>
        <v>No Discount</v>
      </c>
      <c r="Y202" s="25">
        <f t="shared" si="10"/>
        <v>45536</v>
      </c>
      <c r="Z202">
        <f t="shared" si="11"/>
        <v>2024</v>
      </c>
    </row>
    <row r="203" spans="1:26" x14ac:dyDescent="0.3">
      <c r="A203" t="s">
        <v>516</v>
      </c>
      <c r="B203" s="4" t="s">
        <v>517</v>
      </c>
      <c r="C203" t="s">
        <v>20</v>
      </c>
      <c r="D203" t="s">
        <v>21</v>
      </c>
      <c r="E203" t="s">
        <v>52</v>
      </c>
      <c r="F203" t="s">
        <v>53</v>
      </c>
      <c r="G203" t="s">
        <v>54</v>
      </c>
      <c r="H203" t="s">
        <v>112</v>
      </c>
      <c r="I203" t="s">
        <v>26</v>
      </c>
      <c r="J203" t="s">
        <v>91</v>
      </c>
      <c r="K203" t="s">
        <v>92</v>
      </c>
      <c r="L203" s="8">
        <v>5</v>
      </c>
      <c r="M203" s="12">
        <v>1200</v>
      </c>
      <c r="N203" s="10">
        <v>0.1</v>
      </c>
      <c r="O203" s="12">
        <v>5400</v>
      </c>
      <c r="P203" s="12">
        <v>623.96</v>
      </c>
      <c r="Q203" s="12">
        <v>161.94999999999999</v>
      </c>
      <c r="R203" t="s">
        <v>29</v>
      </c>
      <c r="U203" s="12">
        <f>Table2[[#This Row],[Quantity]]*Table2[[#This Row],[Unit_Price]]*(1-Table2[[#This Row],[ Discount]])</f>
        <v>5400</v>
      </c>
      <c r="V203" s="10">
        <f>Table2[[#This Row],[Profit]]/Table2[[#This Row],[Sales_Amount]]</f>
        <v>0.11554814814814815</v>
      </c>
      <c r="W203" t="str">
        <f>IF(Table2[[#This Row],[Sales_Amount]]&gt;10000,"High Value","Normal")</f>
        <v>Normal</v>
      </c>
      <c r="X203" t="str">
        <f t="shared" si="9"/>
        <v>Medium</v>
      </c>
      <c r="Y203" s="25">
        <f t="shared" si="10"/>
        <v>45536</v>
      </c>
      <c r="Z203">
        <f t="shared" si="11"/>
        <v>2024</v>
      </c>
    </row>
    <row r="204" spans="1:26" x14ac:dyDescent="0.3">
      <c r="A204" t="s">
        <v>518</v>
      </c>
      <c r="B204" s="4" t="s">
        <v>519</v>
      </c>
      <c r="C204" t="s">
        <v>20</v>
      </c>
      <c r="D204" t="s">
        <v>21</v>
      </c>
      <c r="E204" t="s">
        <v>52</v>
      </c>
      <c r="F204" t="s">
        <v>44</v>
      </c>
      <c r="G204" t="s">
        <v>216</v>
      </c>
      <c r="H204" t="s">
        <v>266</v>
      </c>
      <c r="I204" t="s">
        <v>47</v>
      </c>
      <c r="J204" t="s">
        <v>119</v>
      </c>
      <c r="K204" t="s">
        <v>208</v>
      </c>
      <c r="L204" s="8">
        <v>1</v>
      </c>
      <c r="M204" s="12">
        <v>600</v>
      </c>
      <c r="N204" s="10">
        <v>0</v>
      </c>
      <c r="O204" s="12">
        <v>600</v>
      </c>
      <c r="P204" s="12">
        <v>124.54</v>
      </c>
      <c r="Q204" s="12">
        <v>220.82</v>
      </c>
      <c r="R204" t="s">
        <v>29</v>
      </c>
      <c r="U204" s="12">
        <f>Table2[[#This Row],[Quantity]]*Table2[[#This Row],[Unit_Price]]*(1-Table2[[#This Row],[ Discount]])</f>
        <v>600</v>
      </c>
      <c r="V204" s="10">
        <f>Table2[[#This Row],[Profit]]/Table2[[#This Row],[Sales_Amount]]</f>
        <v>0.20756666666666668</v>
      </c>
      <c r="W204" t="str">
        <f>IF(Table2[[#This Row],[Sales_Amount]]&gt;10000,"High Value","Normal")</f>
        <v>Normal</v>
      </c>
      <c r="X204" t="str">
        <f t="shared" si="9"/>
        <v>No Discount</v>
      </c>
      <c r="Y204" s="25">
        <f t="shared" si="10"/>
        <v>45536</v>
      </c>
      <c r="Z204">
        <f t="shared" si="11"/>
        <v>2024</v>
      </c>
    </row>
    <row r="205" spans="1:26" x14ac:dyDescent="0.3">
      <c r="A205" t="s">
        <v>520</v>
      </c>
      <c r="B205" s="4" t="s">
        <v>521</v>
      </c>
      <c r="C205" t="s">
        <v>185</v>
      </c>
      <c r="D205" t="s">
        <v>186</v>
      </c>
      <c r="E205" t="s">
        <v>22</v>
      </c>
      <c r="F205" t="s">
        <v>44</v>
      </c>
      <c r="G205" t="s">
        <v>216</v>
      </c>
      <c r="H205" t="s">
        <v>316</v>
      </c>
      <c r="I205" t="s">
        <v>47</v>
      </c>
      <c r="J205" t="s">
        <v>48</v>
      </c>
      <c r="K205" t="s">
        <v>97</v>
      </c>
      <c r="L205" s="8">
        <v>1</v>
      </c>
      <c r="M205" s="12">
        <v>1500</v>
      </c>
      <c r="N205" s="10">
        <v>0.1</v>
      </c>
      <c r="O205" s="12">
        <v>1350</v>
      </c>
      <c r="P205" s="12">
        <v>188.49</v>
      </c>
      <c r="Q205" s="12">
        <v>428.19</v>
      </c>
      <c r="R205" t="s">
        <v>39</v>
      </c>
      <c r="U205" s="12">
        <f>Table2[[#This Row],[Quantity]]*Table2[[#This Row],[Unit_Price]]*(1-Table2[[#This Row],[ Discount]])</f>
        <v>1350</v>
      </c>
      <c r="V205" s="10">
        <f>Table2[[#This Row],[Profit]]/Table2[[#This Row],[Sales_Amount]]</f>
        <v>0.13962222222222223</v>
      </c>
      <c r="W205" t="str">
        <f>IF(Table2[[#This Row],[Sales_Amount]]&gt;10000,"High Value","Normal")</f>
        <v>Normal</v>
      </c>
      <c r="X205" t="str">
        <f t="shared" si="9"/>
        <v>Medium</v>
      </c>
      <c r="Y205" s="25">
        <f t="shared" si="10"/>
        <v>45536</v>
      </c>
      <c r="Z205">
        <f t="shared" si="11"/>
        <v>2024</v>
      </c>
    </row>
    <row r="206" spans="1:26" x14ac:dyDescent="0.3">
      <c r="A206" t="s">
        <v>522</v>
      </c>
      <c r="B206" s="4" t="s">
        <v>510</v>
      </c>
      <c r="C206" t="s">
        <v>157</v>
      </c>
      <c r="D206" t="s">
        <v>158</v>
      </c>
      <c r="E206" t="s">
        <v>67</v>
      </c>
      <c r="F206" t="s">
        <v>44</v>
      </c>
      <c r="G206" t="s">
        <v>45</v>
      </c>
      <c r="H206" t="s">
        <v>96</v>
      </c>
      <c r="I206" t="s">
        <v>47</v>
      </c>
      <c r="J206" t="s">
        <v>119</v>
      </c>
      <c r="K206" t="s">
        <v>310</v>
      </c>
      <c r="L206" s="8">
        <v>3</v>
      </c>
      <c r="M206" s="12">
        <v>1500</v>
      </c>
      <c r="N206" s="10">
        <v>0</v>
      </c>
      <c r="O206" s="12">
        <v>4500</v>
      </c>
      <c r="P206" s="12">
        <v>1124.31</v>
      </c>
      <c r="Q206" s="12">
        <v>58.45</v>
      </c>
      <c r="R206" t="s">
        <v>57</v>
      </c>
      <c r="U206" s="12">
        <f>Table2[[#This Row],[Quantity]]*Table2[[#This Row],[Unit_Price]]*(1-Table2[[#This Row],[ Discount]])</f>
        <v>4500</v>
      </c>
      <c r="V206" s="10">
        <f>Table2[[#This Row],[Profit]]/Table2[[#This Row],[Sales_Amount]]</f>
        <v>0.24984666666666666</v>
      </c>
      <c r="W206" t="str">
        <f>IF(Table2[[#This Row],[Sales_Amount]]&gt;10000,"High Value","Normal")</f>
        <v>Normal</v>
      </c>
      <c r="X206" t="str">
        <f t="shared" si="9"/>
        <v>No Discount</v>
      </c>
      <c r="Y206" s="25">
        <f t="shared" si="10"/>
        <v>45536</v>
      </c>
      <c r="Z206">
        <f t="shared" si="11"/>
        <v>2024</v>
      </c>
    </row>
    <row r="207" spans="1:26" x14ac:dyDescent="0.3">
      <c r="A207" t="s">
        <v>523</v>
      </c>
      <c r="B207" s="4" t="s">
        <v>494</v>
      </c>
      <c r="C207" t="s">
        <v>122</v>
      </c>
      <c r="D207" t="s">
        <v>123</v>
      </c>
      <c r="E207" t="s">
        <v>22</v>
      </c>
      <c r="F207" t="s">
        <v>106</v>
      </c>
      <c r="G207" t="s">
        <v>149</v>
      </c>
      <c r="H207" t="s">
        <v>234</v>
      </c>
      <c r="I207" t="s">
        <v>26</v>
      </c>
      <c r="J207" t="s">
        <v>91</v>
      </c>
      <c r="K207" t="s">
        <v>153</v>
      </c>
      <c r="L207" s="8">
        <v>1</v>
      </c>
      <c r="M207" s="12">
        <v>800</v>
      </c>
      <c r="N207" s="10">
        <v>0.2</v>
      </c>
      <c r="O207" s="12">
        <v>640</v>
      </c>
      <c r="P207" s="12">
        <v>59.2</v>
      </c>
      <c r="Q207" s="12">
        <v>323.70999999999998</v>
      </c>
      <c r="R207" t="s">
        <v>29</v>
      </c>
      <c r="U207" s="12">
        <f>Table2[[#This Row],[Quantity]]*Table2[[#This Row],[Unit_Price]]*(1-Table2[[#This Row],[ Discount]])</f>
        <v>640</v>
      </c>
      <c r="V207" s="10">
        <f>Table2[[#This Row],[Profit]]/Table2[[#This Row],[Sales_Amount]]</f>
        <v>9.2499999999999999E-2</v>
      </c>
      <c r="W207" t="str">
        <f>IF(Table2[[#This Row],[Sales_Amount]]&gt;10000,"High Value","Normal")</f>
        <v>Normal</v>
      </c>
      <c r="X207" t="str">
        <f t="shared" si="9"/>
        <v>High</v>
      </c>
      <c r="Y207" s="25">
        <f t="shared" si="10"/>
        <v>45536</v>
      </c>
      <c r="Z207">
        <f t="shared" si="11"/>
        <v>2024</v>
      </c>
    </row>
    <row r="208" spans="1:26" x14ac:dyDescent="0.3">
      <c r="A208" t="s">
        <v>524</v>
      </c>
      <c r="B208" s="4" t="s">
        <v>525</v>
      </c>
      <c r="C208" t="s">
        <v>211</v>
      </c>
      <c r="D208" t="s">
        <v>212</v>
      </c>
      <c r="E208" t="s">
        <v>22</v>
      </c>
      <c r="F208" t="s">
        <v>106</v>
      </c>
      <c r="G208" t="s">
        <v>306</v>
      </c>
      <c r="H208" t="s">
        <v>366</v>
      </c>
      <c r="I208" t="s">
        <v>47</v>
      </c>
      <c r="J208" t="s">
        <v>48</v>
      </c>
      <c r="K208" t="s">
        <v>407</v>
      </c>
      <c r="L208" s="8">
        <v>4</v>
      </c>
      <c r="M208" s="12">
        <v>1200</v>
      </c>
      <c r="N208" s="10">
        <v>0</v>
      </c>
      <c r="O208" s="12">
        <v>4800</v>
      </c>
      <c r="P208" s="12">
        <v>1081.52</v>
      </c>
      <c r="Q208" s="12">
        <v>156.76</v>
      </c>
      <c r="R208" t="s">
        <v>39</v>
      </c>
      <c r="U208" s="12">
        <f>Table2[[#This Row],[Quantity]]*Table2[[#This Row],[Unit_Price]]*(1-Table2[[#This Row],[ Discount]])</f>
        <v>4800</v>
      </c>
      <c r="V208" s="10">
        <f>Table2[[#This Row],[Profit]]/Table2[[#This Row],[Sales_Amount]]</f>
        <v>0.22531666666666667</v>
      </c>
      <c r="W208" t="str">
        <f>IF(Table2[[#This Row],[Sales_Amount]]&gt;10000,"High Value","Normal")</f>
        <v>Normal</v>
      </c>
      <c r="X208" t="str">
        <f t="shared" si="9"/>
        <v>No Discount</v>
      </c>
      <c r="Y208" s="25">
        <f t="shared" si="10"/>
        <v>45536</v>
      </c>
      <c r="Z208">
        <f t="shared" si="11"/>
        <v>2024</v>
      </c>
    </row>
    <row r="209" spans="1:26" x14ac:dyDescent="0.3">
      <c r="A209" t="s">
        <v>526</v>
      </c>
      <c r="B209" s="4" t="s">
        <v>527</v>
      </c>
      <c r="C209" t="s">
        <v>72</v>
      </c>
      <c r="D209" t="s">
        <v>73</v>
      </c>
      <c r="E209" t="s">
        <v>52</v>
      </c>
      <c r="F209" t="s">
        <v>44</v>
      </c>
      <c r="G209" t="s">
        <v>216</v>
      </c>
      <c r="H209" t="s">
        <v>316</v>
      </c>
      <c r="I209" t="s">
        <v>36</v>
      </c>
      <c r="J209" t="s">
        <v>113</v>
      </c>
      <c r="K209" t="s">
        <v>220</v>
      </c>
      <c r="L209" s="8">
        <v>3</v>
      </c>
      <c r="M209" s="12">
        <v>1800</v>
      </c>
      <c r="N209" s="10">
        <v>0</v>
      </c>
      <c r="O209" s="12">
        <v>5400</v>
      </c>
      <c r="P209" s="12">
        <v>1429.87</v>
      </c>
      <c r="Q209" s="12">
        <v>411.09</v>
      </c>
      <c r="R209" t="s">
        <v>29</v>
      </c>
      <c r="U209" s="12">
        <f>Table2[[#This Row],[Quantity]]*Table2[[#This Row],[Unit_Price]]*(1-Table2[[#This Row],[ Discount]])</f>
        <v>5400</v>
      </c>
      <c r="V209" s="10">
        <f>Table2[[#This Row],[Profit]]/Table2[[#This Row],[Sales_Amount]]</f>
        <v>0.26479074074074072</v>
      </c>
      <c r="W209" t="str">
        <f>IF(Table2[[#This Row],[Sales_Amount]]&gt;10000,"High Value","Normal")</f>
        <v>Normal</v>
      </c>
      <c r="X209" t="str">
        <f t="shared" si="9"/>
        <v>No Discount</v>
      </c>
      <c r="Y209" s="25">
        <f t="shared" si="10"/>
        <v>45566</v>
      </c>
      <c r="Z209">
        <f t="shared" si="11"/>
        <v>2024</v>
      </c>
    </row>
    <row r="210" spans="1:26" x14ac:dyDescent="0.3">
      <c r="A210" t="s">
        <v>528</v>
      </c>
      <c r="B210" s="4" t="s">
        <v>529</v>
      </c>
      <c r="C210" t="s">
        <v>242</v>
      </c>
      <c r="D210" t="s">
        <v>243</v>
      </c>
      <c r="E210" t="s">
        <v>22</v>
      </c>
      <c r="F210" t="s">
        <v>23</v>
      </c>
      <c r="G210" t="s">
        <v>24</v>
      </c>
      <c r="H210" t="s">
        <v>68</v>
      </c>
      <c r="I210" t="s">
        <v>36</v>
      </c>
      <c r="J210" t="s">
        <v>113</v>
      </c>
      <c r="K210" t="s">
        <v>220</v>
      </c>
      <c r="L210" s="8">
        <v>3</v>
      </c>
      <c r="M210" s="12">
        <v>1800</v>
      </c>
      <c r="N210" s="10">
        <v>0.1</v>
      </c>
      <c r="O210" s="12">
        <v>4860</v>
      </c>
      <c r="P210" s="12">
        <v>979</v>
      </c>
      <c r="Q210" s="12">
        <v>265.57</v>
      </c>
      <c r="R210" t="s">
        <v>64</v>
      </c>
      <c r="U210" s="12">
        <f>Table2[[#This Row],[Quantity]]*Table2[[#This Row],[Unit_Price]]*(1-Table2[[#This Row],[ Discount]])</f>
        <v>4860</v>
      </c>
      <c r="V210" s="10">
        <f>Table2[[#This Row],[Profit]]/Table2[[#This Row],[Sales_Amount]]</f>
        <v>0.20144032921810701</v>
      </c>
      <c r="W210" t="str">
        <f>IF(Table2[[#This Row],[Sales_Amount]]&gt;10000,"High Value","Normal")</f>
        <v>Normal</v>
      </c>
      <c r="X210" t="str">
        <f t="shared" si="9"/>
        <v>Medium</v>
      </c>
      <c r="Y210" s="25">
        <f t="shared" si="10"/>
        <v>45566</v>
      </c>
      <c r="Z210">
        <f t="shared" si="11"/>
        <v>2024</v>
      </c>
    </row>
    <row r="211" spans="1:26" x14ac:dyDescent="0.3">
      <c r="A211" t="s">
        <v>530</v>
      </c>
      <c r="B211" s="4" t="s">
        <v>531</v>
      </c>
      <c r="C211" t="s">
        <v>211</v>
      </c>
      <c r="D211" t="s">
        <v>212</v>
      </c>
      <c r="E211" t="s">
        <v>22</v>
      </c>
      <c r="F211" t="s">
        <v>53</v>
      </c>
      <c r="G211" t="s">
        <v>54</v>
      </c>
      <c r="H211" t="s">
        <v>55</v>
      </c>
      <c r="I211" t="s">
        <v>47</v>
      </c>
      <c r="J211" t="s">
        <v>48</v>
      </c>
      <c r="K211" t="s">
        <v>407</v>
      </c>
      <c r="L211" s="8">
        <v>5</v>
      </c>
      <c r="M211" s="12">
        <v>1200</v>
      </c>
      <c r="N211" s="10">
        <v>0</v>
      </c>
      <c r="O211" s="12">
        <v>6000</v>
      </c>
      <c r="P211" s="12">
        <v>532.27</v>
      </c>
      <c r="Q211" s="12">
        <v>272.8</v>
      </c>
      <c r="R211" t="s">
        <v>57</v>
      </c>
      <c r="U211" s="12">
        <f>Table2[[#This Row],[Quantity]]*Table2[[#This Row],[Unit_Price]]*(1-Table2[[#This Row],[ Discount]])</f>
        <v>6000</v>
      </c>
      <c r="V211" s="10">
        <f>Table2[[#This Row],[Profit]]/Table2[[#This Row],[Sales_Amount]]</f>
        <v>8.8711666666666661E-2</v>
      </c>
      <c r="W211" t="str">
        <f>IF(Table2[[#This Row],[Sales_Amount]]&gt;10000,"High Value","Normal")</f>
        <v>Normal</v>
      </c>
      <c r="X211" t="str">
        <f t="shared" si="9"/>
        <v>No Discount</v>
      </c>
      <c r="Y211" s="25">
        <f t="shared" si="10"/>
        <v>45566</v>
      </c>
      <c r="Z211">
        <f t="shared" si="11"/>
        <v>2024</v>
      </c>
    </row>
    <row r="212" spans="1:26" x14ac:dyDescent="0.3">
      <c r="A212" t="s">
        <v>532</v>
      </c>
      <c r="B212" s="4" t="s">
        <v>533</v>
      </c>
      <c r="C212" t="s">
        <v>122</v>
      </c>
      <c r="D212" t="s">
        <v>123</v>
      </c>
      <c r="E212" t="s">
        <v>67</v>
      </c>
      <c r="F212" t="s">
        <v>106</v>
      </c>
      <c r="G212" t="s">
        <v>149</v>
      </c>
      <c r="H212" t="s">
        <v>150</v>
      </c>
      <c r="I212" t="s">
        <v>36</v>
      </c>
      <c r="J212" t="s">
        <v>37</v>
      </c>
      <c r="K212" t="s">
        <v>371</v>
      </c>
      <c r="L212" s="8">
        <v>2</v>
      </c>
      <c r="M212" s="12">
        <v>4500</v>
      </c>
      <c r="N212" s="10">
        <v>0.2</v>
      </c>
      <c r="O212" s="12">
        <v>7200</v>
      </c>
      <c r="P212" s="12">
        <v>1809.34</v>
      </c>
      <c r="Q212" s="12">
        <v>445.18</v>
      </c>
      <c r="R212" t="s">
        <v>64</v>
      </c>
      <c r="U212" s="12">
        <f>Table2[[#This Row],[Quantity]]*Table2[[#This Row],[Unit_Price]]*(1-Table2[[#This Row],[ Discount]])</f>
        <v>7200</v>
      </c>
      <c r="V212" s="10">
        <f>Table2[[#This Row],[Profit]]/Table2[[#This Row],[Sales_Amount]]</f>
        <v>0.25129722222222223</v>
      </c>
      <c r="W212" t="str">
        <f>IF(Table2[[#This Row],[Sales_Amount]]&gt;10000,"High Value","Normal")</f>
        <v>Normal</v>
      </c>
      <c r="X212" t="str">
        <f t="shared" si="9"/>
        <v>High</v>
      </c>
      <c r="Y212" s="25">
        <f t="shared" si="10"/>
        <v>45566</v>
      </c>
      <c r="Z212">
        <f t="shared" si="11"/>
        <v>2024</v>
      </c>
    </row>
    <row r="213" spans="1:26" x14ac:dyDescent="0.3">
      <c r="A213" t="s">
        <v>534</v>
      </c>
      <c r="B213" s="4" t="s">
        <v>535</v>
      </c>
      <c r="C213" t="s">
        <v>278</v>
      </c>
      <c r="D213" t="s">
        <v>279</v>
      </c>
      <c r="E213" t="s">
        <v>67</v>
      </c>
      <c r="F213" t="s">
        <v>53</v>
      </c>
      <c r="G213" t="s">
        <v>100</v>
      </c>
      <c r="H213" t="s">
        <v>213</v>
      </c>
      <c r="I213" t="s">
        <v>36</v>
      </c>
      <c r="J213" t="s">
        <v>140</v>
      </c>
      <c r="K213" t="s">
        <v>168</v>
      </c>
      <c r="L213" s="8">
        <v>2</v>
      </c>
      <c r="M213" s="12">
        <v>1800</v>
      </c>
      <c r="N213" s="10">
        <v>0.05</v>
      </c>
      <c r="O213" s="12">
        <v>3420</v>
      </c>
      <c r="P213" s="12">
        <v>821.7</v>
      </c>
      <c r="Q213" s="12">
        <v>403.17</v>
      </c>
      <c r="R213" t="s">
        <v>64</v>
      </c>
      <c r="U213" s="12">
        <f>Table2[[#This Row],[Quantity]]*Table2[[#This Row],[Unit_Price]]*(1-Table2[[#This Row],[ Discount]])</f>
        <v>3420</v>
      </c>
      <c r="V213" s="10">
        <f>Table2[[#This Row],[Profit]]/Table2[[#This Row],[Sales_Amount]]</f>
        <v>0.24026315789473685</v>
      </c>
      <c r="W213" t="str">
        <f>IF(Table2[[#This Row],[Sales_Amount]]&gt;10000,"High Value","Normal")</f>
        <v>Normal</v>
      </c>
      <c r="X213" t="str">
        <f t="shared" si="9"/>
        <v>Low</v>
      </c>
      <c r="Y213" s="25">
        <f t="shared" si="10"/>
        <v>45566</v>
      </c>
      <c r="Z213">
        <f t="shared" si="11"/>
        <v>2024</v>
      </c>
    </row>
    <row r="214" spans="1:26" x14ac:dyDescent="0.3">
      <c r="A214" t="s">
        <v>536</v>
      </c>
      <c r="B214" s="4" t="s">
        <v>537</v>
      </c>
      <c r="C214" t="s">
        <v>211</v>
      </c>
      <c r="D214" t="s">
        <v>212</v>
      </c>
      <c r="E214" t="s">
        <v>67</v>
      </c>
      <c r="F214" t="s">
        <v>53</v>
      </c>
      <c r="G214" t="s">
        <v>83</v>
      </c>
      <c r="H214" t="s">
        <v>84</v>
      </c>
      <c r="I214" t="s">
        <v>36</v>
      </c>
      <c r="J214" t="s">
        <v>140</v>
      </c>
      <c r="K214" t="s">
        <v>337</v>
      </c>
      <c r="L214" s="8">
        <v>1</v>
      </c>
      <c r="M214" s="12">
        <v>5500</v>
      </c>
      <c r="N214" s="10">
        <v>0.2</v>
      </c>
      <c r="O214" s="12">
        <v>4400</v>
      </c>
      <c r="P214" s="12">
        <v>1000.11</v>
      </c>
      <c r="Q214" s="12">
        <v>175.43</v>
      </c>
      <c r="R214" t="s">
        <v>64</v>
      </c>
      <c r="U214" s="12">
        <f>Table2[[#This Row],[Quantity]]*Table2[[#This Row],[Unit_Price]]*(1-Table2[[#This Row],[ Discount]])</f>
        <v>4400</v>
      </c>
      <c r="V214" s="10">
        <f>Table2[[#This Row],[Profit]]/Table2[[#This Row],[Sales_Amount]]</f>
        <v>0.22729772727272726</v>
      </c>
      <c r="W214" t="str">
        <f>IF(Table2[[#This Row],[Sales_Amount]]&gt;10000,"High Value","Normal")</f>
        <v>Normal</v>
      </c>
      <c r="X214" t="str">
        <f t="shared" si="9"/>
        <v>High</v>
      </c>
      <c r="Y214" s="25">
        <f t="shared" si="10"/>
        <v>45566</v>
      </c>
      <c r="Z214">
        <f t="shared" si="11"/>
        <v>2024</v>
      </c>
    </row>
    <row r="215" spans="1:26" x14ac:dyDescent="0.3">
      <c r="A215" t="s">
        <v>538</v>
      </c>
      <c r="B215" s="4" t="s">
        <v>539</v>
      </c>
      <c r="C215" t="s">
        <v>122</v>
      </c>
      <c r="D215" t="s">
        <v>123</v>
      </c>
      <c r="E215" t="s">
        <v>67</v>
      </c>
      <c r="F215" t="s">
        <v>53</v>
      </c>
      <c r="G215" t="s">
        <v>83</v>
      </c>
      <c r="H215" t="s">
        <v>84</v>
      </c>
      <c r="I215" t="s">
        <v>47</v>
      </c>
      <c r="J215" t="s">
        <v>85</v>
      </c>
      <c r="K215" t="s">
        <v>86</v>
      </c>
      <c r="L215" s="8">
        <v>5</v>
      </c>
      <c r="M215" s="12">
        <v>3500</v>
      </c>
      <c r="N215" s="10">
        <v>0.05</v>
      </c>
      <c r="O215" s="12">
        <v>16625</v>
      </c>
      <c r="P215" s="12">
        <v>2239.9899999999998</v>
      </c>
      <c r="Q215" s="12">
        <v>347.38</v>
      </c>
      <c r="R215" t="s">
        <v>39</v>
      </c>
      <c r="U215" s="12">
        <f>Table2[[#This Row],[Quantity]]*Table2[[#This Row],[Unit_Price]]*(1-Table2[[#This Row],[ Discount]])</f>
        <v>16625</v>
      </c>
      <c r="V215" s="10">
        <f>Table2[[#This Row],[Profit]]/Table2[[#This Row],[Sales_Amount]]</f>
        <v>0.13473624060150374</v>
      </c>
      <c r="W215" t="str">
        <f>IF(Table2[[#This Row],[Sales_Amount]]&gt;10000,"High Value","Normal")</f>
        <v>High Value</v>
      </c>
      <c r="X215" t="str">
        <f t="shared" si="9"/>
        <v>Low</v>
      </c>
      <c r="Y215" s="25">
        <f t="shared" si="10"/>
        <v>45566</v>
      </c>
      <c r="Z215">
        <f t="shared" si="11"/>
        <v>2024</v>
      </c>
    </row>
    <row r="216" spans="1:26" x14ac:dyDescent="0.3">
      <c r="A216" t="s">
        <v>540</v>
      </c>
      <c r="B216" s="4" t="s">
        <v>541</v>
      </c>
      <c r="C216" t="s">
        <v>60</v>
      </c>
      <c r="D216" t="s">
        <v>61</v>
      </c>
      <c r="E216" t="s">
        <v>52</v>
      </c>
      <c r="F216" t="s">
        <v>23</v>
      </c>
      <c r="G216" t="s">
        <v>24</v>
      </c>
      <c r="H216" t="s">
        <v>68</v>
      </c>
      <c r="I216" t="s">
        <v>47</v>
      </c>
      <c r="J216" t="s">
        <v>85</v>
      </c>
      <c r="K216" t="s">
        <v>274</v>
      </c>
      <c r="L216" s="8">
        <v>4</v>
      </c>
      <c r="M216" s="12">
        <v>2400</v>
      </c>
      <c r="N216" s="10">
        <v>0.05</v>
      </c>
      <c r="O216" s="12">
        <v>9120</v>
      </c>
      <c r="P216" s="12">
        <v>1568.81</v>
      </c>
      <c r="Q216" s="12">
        <v>218.02</v>
      </c>
      <c r="R216" t="s">
        <v>29</v>
      </c>
      <c r="U216" s="12">
        <f>Table2[[#This Row],[Quantity]]*Table2[[#This Row],[Unit_Price]]*(1-Table2[[#This Row],[ Discount]])</f>
        <v>9120</v>
      </c>
      <c r="V216" s="10">
        <f>Table2[[#This Row],[Profit]]/Table2[[#This Row],[Sales_Amount]]</f>
        <v>0.17201864035087719</v>
      </c>
      <c r="W216" t="str">
        <f>IF(Table2[[#This Row],[Sales_Amount]]&gt;10000,"High Value","Normal")</f>
        <v>Normal</v>
      </c>
      <c r="X216" t="str">
        <f t="shared" si="9"/>
        <v>Low</v>
      </c>
      <c r="Y216" s="25">
        <f t="shared" si="10"/>
        <v>45566</v>
      </c>
      <c r="Z216">
        <f t="shared" si="11"/>
        <v>2024</v>
      </c>
    </row>
    <row r="217" spans="1:26" x14ac:dyDescent="0.3">
      <c r="A217" t="s">
        <v>542</v>
      </c>
      <c r="B217" s="4" t="s">
        <v>543</v>
      </c>
      <c r="C217" t="s">
        <v>171</v>
      </c>
      <c r="D217" t="s">
        <v>172</v>
      </c>
      <c r="E217" t="s">
        <v>52</v>
      </c>
      <c r="F217" t="s">
        <v>44</v>
      </c>
      <c r="G217" t="s">
        <v>216</v>
      </c>
      <c r="H217" t="s">
        <v>217</v>
      </c>
      <c r="I217" t="s">
        <v>26</v>
      </c>
      <c r="J217" t="s">
        <v>27</v>
      </c>
      <c r="K217" t="s">
        <v>358</v>
      </c>
      <c r="L217" s="8">
        <v>5</v>
      </c>
      <c r="M217" s="12">
        <v>22000</v>
      </c>
      <c r="N217" s="10">
        <v>0</v>
      </c>
      <c r="O217" s="12">
        <v>110000</v>
      </c>
      <c r="P217" s="12">
        <v>28980.46</v>
      </c>
      <c r="Q217" s="12">
        <v>140.81</v>
      </c>
      <c r="R217" t="s">
        <v>64</v>
      </c>
      <c r="U217" s="12">
        <f>Table2[[#This Row],[Quantity]]*Table2[[#This Row],[Unit_Price]]*(1-Table2[[#This Row],[ Discount]])</f>
        <v>110000</v>
      </c>
      <c r="V217" s="10">
        <f>Table2[[#This Row],[Profit]]/Table2[[#This Row],[Sales_Amount]]</f>
        <v>0.26345872727272729</v>
      </c>
      <c r="W217" t="str">
        <f>IF(Table2[[#This Row],[Sales_Amount]]&gt;10000,"High Value","Normal")</f>
        <v>High Value</v>
      </c>
      <c r="X217" t="str">
        <f t="shared" si="9"/>
        <v>No Discount</v>
      </c>
      <c r="Y217" s="25">
        <f t="shared" si="10"/>
        <v>45566</v>
      </c>
      <c r="Z217">
        <f t="shared" si="11"/>
        <v>2024</v>
      </c>
    </row>
    <row r="218" spans="1:26" x14ac:dyDescent="0.3">
      <c r="A218" t="s">
        <v>544</v>
      </c>
      <c r="B218" s="4" t="s">
        <v>533</v>
      </c>
      <c r="C218" t="s">
        <v>94</v>
      </c>
      <c r="D218" t="s">
        <v>95</v>
      </c>
      <c r="E218" t="s">
        <v>67</v>
      </c>
      <c r="F218" t="s">
        <v>44</v>
      </c>
      <c r="G218" t="s">
        <v>192</v>
      </c>
      <c r="H218" t="s">
        <v>201</v>
      </c>
      <c r="I218" t="s">
        <v>36</v>
      </c>
      <c r="J218" t="s">
        <v>140</v>
      </c>
      <c r="K218" t="s">
        <v>287</v>
      </c>
      <c r="L218" s="8">
        <v>5</v>
      </c>
      <c r="M218" s="12">
        <v>4000</v>
      </c>
      <c r="N218" s="10">
        <v>0</v>
      </c>
      <c r="O218" s="12">
        <v>20000</v>
      </c>
      <c r="P218" s="12">
        <v>4933.12</v>
      </c>
      <c r="Q218" s="12">
        <v>362.56</v>
      </c>
      <c r="R218" t="s">
        <v>29</v>
      </c>
      <c r="U218" s="12">
        <f>Table2[[#This Row],[Quantity]]*Table2[[#This Row],[Unit_Price]]*(1-Table2[[#This Row],[ Discount]])</f>
        <v>20000</v>
      </c>
      <c r="V218" s="10">
        <f>Table2[[#This Row],[Profit]]/Table2[[#This Row],[Sales_Amount]]</f>
        <v>0.24665599999999999</v>
      </c>
      <c r="W218" t="str">
        <f>IF(Table2[[#This Row],[Sales_Amount]]&gt;10000,"High Value","Normal")</f>
        <v>High Value</v>
      </c>
      <c r="X218" t="str">
        <f t="shared" si="9"/>
        <v>No Discount</v>
      </c>
      <c r="Y218" s="25">
        <f t="shared" si="10"/>
        <v>45566</v>
      </c>
      <c r="Z218">
        <f t="shared" si="11"/>
        <v>2024</v>
      </c>
    </row>
    <row r="219" spans="1:26" x14ac:dyDescent="0.3">
      <c r="A219" t="s">
        <v>545</v>
      </c>
      <c r="B219" s="4" t="s">
        <v>535</v>
      </c>
      <c r="C219" t="s">
        <v>206</v>
      </c>
      <c r="D219" t="s">
        <v>207</v>
      </c>
      <c r="E219" t="s">
        <v>52</v>
      </c>
      <c r="F219" t="s">
        <v>106</v>
      </c>
      <c r="G219" t="s">
        <v>306</v>
      </c>
      <c r="H219" t="s">
        <v>366</v>
      </c>
      <c r="I219" t="s">
        <v>26</v>
      </c>
      <c r="J219" t="s">
        <v>91</v>
      </c>
      <c r="K219" t="s">
        <v>199</v>
      </c>
      <c r="L219" s="8">
        <v>1</v>
      </c>
      <c r="M219" s="12">
        <v>3500</v>
      </c>
      <c r="N219" s="10">
        <v>0.15</v>
      </c>
      <c r="O219" s="12">
        <v>2975</v>
      </c>
      <c r="P219" s="12">
        <v>826.34</v>
      </c>
      <c r="Q219" s="12">
        <v>439.93</v>
      </c>
      <c r="R219" t="s">
        <v>57</v>
      </c>
      <c r="U219" s="12">
        <f>Table2[[#This Row],[Quantity]]*Table2[[#This Row],[Unit_Price]]*(1-Table2[[#This Row],[ Discount]])</f>
        <v>2975</v>
      </c>
      <c r="V219" s="10">
        <f>Table2[[#This Row],[Profit]]/Table2[[#This Row],[Sales_Amount]]</f>
        <v>0.27776134453781515</v>
      </c>
      <c r="W219" t="str">
        <f>IF(Table2[[#This Row],[Sales_Amount]]&gt;10000,"High Value","Normal")</f>
        <v>Normal</v>
      </c>
      <c r="X219" t="str">
        <f t="shared" si="9"/>
        <v>High</v>
      </c>
      <c r="Y219" s="25">
        <f t="shared" si="10"/>
        <v>45566</v>
      </c>
      <c r="Z219">
        <f t="shared" si="11"/>
        <v>2024</v>
      </c>
    </row>
    <row r="220" spans="1:26" x14ac:dyDescent="0.3">
      <c r="A220" t="s">
        <v>546</v>
      </c>
      <c r="B220" s="4" t="s">
        <v>547</v>
      </c>
      <c r="C220" t="s">
        <v>127</v>
      </c>
      <c r="D220" t="s">
        <v>128</v>
      </c>
      <c r="E220" t="s">
        <v>67</v>
      </c>
      <c r="F220" t="s">
        <v>106</v>
      </c>
      <c r="G220" t="s">
        <v>306</v>
      </c>
      <c r="H220" t="s">
        <v>307</v>
      </c>
      <c r="I220" t="s">
        <v>36</v>
      </c>
      <c r="J220" t="s">
        <v>37</v>
      </c>
      <c r="K220" t="s">
        <v>371</v>
      </c>
      <c r="L220" s="8">
        <v>5</v>
      </c>
      <c r="M220" s="12">
        <v>4500</v>
      </c>
      <c r="N220" s="10">
        <v>0</v>
      </c>
      <c r="O220" s="12">
        <v>22500</v>
      </c>
      <c r="P220" s="12">
        <v>2641.54</v>
      </c>
      <c r="Q220" s="12">
        <v>176.43</v>
      </c>
      <c r="R220" t="s">
        <v>29</v>
      </c>
      <c r="U220" s="12">
        <f>Table2[[#This Row],[Quantity]]*Table2[[#This Row],[Unit_Price]]*(1-Table2[[#This Row],[ Discount]])</f>
        <v>22500</v>
      </c>
      <c r="V220" s="10">
        <f>Table2[[#This Row],[Profit]]/Table2[[#This Row],[Sales_Amount]]</f>
        <v>0.11740177777777777</v>
      </c>
      <c r="W220" t="str">
        <f>IF(Table2[[#This Row],[Sales_Amount]]&gt;10000,"High Value","Normal")</f>
        <v>High Value</v>
      </c>
      <c r="X220" t="str">
        <f t="shared" si="9"/>
        <v>No Discount</v>
      </c>
      <c r="Y220" s="25">
        <f t="shared" si="10"/>
        <v>45566</v>
      </c>
      <c r="Z220">
        <f t="shared" si="11"/>
        <v>2024</v>
      </c>
    </row>
    <row r="221" spans="1:26" x14ac:dyDescent="0.3">
      <c r="A221" t="s">
        <v>548</v>
      </c>
      <c r="B221" s="4" t="s">
        <v>549</v>
      </c>
      <c r="C221" t="s">
        <v>122</v>
      </c>
      <c r="D221" t="s">
        <v>123</v>
      </c>
      <c r="E221" t="s">
        <v>67</v>
      </c>
      <c r="F221" t="s">
        <v>53</v>
      </c>
      <c r="G221" t="s">
        <v>100</v>
      </c>
      <c r="H221" t="s">
        <v>101</v>
      </c>
      <c r="I221" t="s">
        <v>36</v>
      </c>
      <c r="J221" t="s">
        <v>140</v>
      </c>
      <c r="K221" t="s">
        <v>287</v>
      </c>
      <c r="L221" s="8">
        <v>1</v>
      </c>
      <c r="M221" s="12">
        <v>4000</v>
      </c>
      <c r="N221" s="10">
        <v>0</v>
      </c>
      <c r="O221" s="12">
        <v>4000</v>
      </c>
      <c r="P221" s="12">
        <v>733.16</v>
      </c>
      <c r="Q221" s="12">
        <v>283.31</v>
      </c>
      <c r="R221" t="s">
        <v>29</v>
      </c>
      <c r="U221" s="12">
        <f>Table2[[#This Row],[Quantity]]*Table2[[#This Row],[Unit_Price]]*(1-Table2[[#This Row],[ Discount]])</f>
        <v>4000</v>
      </c>
      <c r="V221" s="10">
        <f>Table2[[#This Row],[Profit]]/Table2[[#This Row],[Sales_Amount]]</f>
        <v>0.18328999999999998</v>
      </c>
      <c r="W221" t="str">
        <f>IF(Table2[[#This Row],[Sales_Amount]]&gt;10000,"High Value","Normal")</f>
        <v>Normal</v>
      </c>
      <c r="X221" t="str">
        <f t="shared" si="9"/>
        <v>No Discount</v>
      </c>
      <c r="Y221" s="25">
        <f t="shared" si="10"/>
        <v>45566</v>
      </c>
      <c r="Z221">
        <f t="shared" si="11"/>
        <v>2024</v>
      </c>
    </row>
    <row r="222" spans="1:26" x14ac:dyDescent="0.3">
      <c r="A222" t="s">
        <v>550</v>
      </c>
      <c r="B222" s="4" t="s">
        <v>551</v>
      </c>
      <c r="C222" t="s">
        <v>94</v>
      </c>
      <c r="D222" t="s">
        <v>95</v>
      </c>
      <c r="E222" t="s">
        <v>22</v>
      </c>
      <c r="F222" t="s">
        <v>44</v>
      </c>
      <c r="G222" t="s">
        <v>45</v>
      </c>
      <c r="H222" t="s">
        <v>96</v>
      </c>
      <c r="I222" t="s">
        <v>47</v>
      </c>
      <c r="J222" t="s">
        <v>48</v>
      </c>
      <c r="K222" t="s">
        <v>196</v>
      </c>
      <c r="L222" s="8">
        <v>3</v>
      </c>
      <c r="M222" s="12">
        <v>2500</v>
      </c>
      <c r="N222" s="10">
        <v>0.15</v>
      </c>
      <c r="O222" s="12">
        <v>6375</v>
      </c>
      <c r="P222" s="12">
        <v>1769.86</v>
      </c>
      <c r="Q222" s="12">
        <v>222.23</v>
      </c>
      <c r="R222" t="s">
        <v>57</v>
      </c>
      <c r="U222" s="12">
        <f>Table2[[#This Row],[Quantity]]*Table2[[#This Row],[Unit_Price]]*(1-Table2[[#This Row],[ Discount]])</f>
        <v>6375</v>
      </c>
      <c r="V222" s="10">
        <f>Table2[[#This Row],[Profit]]/Table2[[#This Row],[Sales_Amount]]</f>
        <v>0.27762509803921565</v>
      </c>
      <c r="W222" t="str">
        <f>IF(Table2[[#This Row],[Sales_Amount]]&gt;10000,"High Value","Normal")</f>
        <v>Normal</v>
      </c>
      <c r="X222" t="str">
        <f t="shared" si="9"/>
        <v>High</v>
      </c>
      <c r="Y222" s="25">
        <f t="shared" si="10"/>
        <v>45566</v>
      </c>
      <c r="Z222">
        <f t="shared" si="11"/>
        <v>2024</v>
      </c>
    </row>
    <row r="223" spans="1:26" x14ac:dyDescent="0.3">
      <c r="A223" t="s">
        <v>552</v>
      </c>
      <c r="B223" s="4" t="s">
        <v>553</v>
      </c>
      <c r="C223" t="s">
        <v>162</v>
      </c>
      <c r="D223" t="s">
        <v>163</v>
      </c>
      <c r="E223" t="s">
        <v>22</v>
      </c>
      <c r="F223" t="s">
        <v>23</v>
      </c>
      <c r="G223" t="s">
        <v>74</v>
      </c>
      <c r="H223" t="s">
        <v>75</v>
      </c>
      <c r="I223" t="s">
        <v>36</v>
      </c>
      <c r="J223" t="s">
        <v>140</v>
      </c>
      <c r="K223" t="s">
        <v>287</v>
      </c>
      <c r="L223" s="8">
        <v>5</v>
      </c>
      <c r="M223" s="12">
        <v>4000</v>
      </c>
      <c r="N223" s="10">
        <v>0</v>
      </c>
      <c r="O223" s="12">
        <v>20000</v>
      </c>
      <c r="P223" s="12">
        <v>2418.85</v>
      </c>
      <c r="Q223" s="12">
        <v>103.71</v>
      </c>
      <c r="R223" t="s">
        <v>39</v>
      </c>
      <c r="U223" s="12">
        <f>Table2[[#This Row],[Quantity]]*Table2[[#This Row],[Unit_Price]]*(1-Table2[[#This Row],[ Discount]])</f>
        <v>20000</v>
      </c>
      <c r="V223" s="10">
        <f>Table2[[#This Row],[Profit]]/Table2[[#This Row],[Sales_Amount]]</f>
        <v>0.12094249999999999</v>
      </c>
      <c r="W223" t="str">
        <f>IF(Table2[[#This Row],[Sales_Amount]]&gt;10000,"High Value","Normal")</f>
        <v>High Value</v>
      </c>
      <c r="X223" t="str">
        <f t="shared" si="9"/>
        <v>No Discount</v>
      </c>
      <c r="Y223" s="25">
        <f t="shared" si="10"/>
        <v>45566</v>
      </c>
      <c r="Z223">
        <f t="shared" si="11"/>
        <v>2024</v>
      </c>
    </row>
    <row r="224" spans="1:26" x14ac:dyDescent="0.3">
      <c r="A224" t="s">
        <v>554</v>
      </c>
      <c r="B224" s="4" t="s">
        <v>555</v>
      </c>
      <c r="C224" t="s">
        <v>171</v>
      </c>
      <c r="D224" t="s">
        <v>172</v>
      </c>
      <c r="E224" t="s">
        <v>52</v>
      </c>
      <c r="F224" t="s">
        <v>106</v>
      </c>
      <c r="G224" t="s">
        <v>107</v>
      </c>
      <c r="H224" t="s">
        <v>108</v>
      </c>
      <c r="I224" t="s">
        <v>36</v>
      </c>
      <c r="J224" t="s">
        <v>37</v>
      </c>
      <c r="K224" t="s">
        <v>371</v>
      </c>
      <c r="L224" s="8">
        <v>1</v>
      </c>
      <c r="M224" s="12">
        <v>4500</v>
      </c>
      <c r="N224" s="10">
        <v>0</v>
      </c>
      <c r="O224" s="12">
        <v>4500</v>
      </c>
      <c r="P224" s="12">
        <v>913.38</v>
      </c>
      <c r="Q224" s="12">
        <v>110.15</v>
      </c>
      <c r="R224" t="s">
        <v>64</v>
      </c>
      <c r="U224" s="12">
        <f>Table2[[#This Row],[Quantity]]*Table2[[#This Row],[Unit_Price]]*(1-Table2[[#This Row],[ Discount]])</f>
        <v>4500</v>
      </c>
      <c r="V224" s="10">
        <f>Table2[[#This Row],[Profit]]/Table2[[#This Row],[Sales_Amount]]</f>
        <v>0.20297333333333334</v>
      </c>
      <c r="W224" t="str">
        <f>IF(Table2[[#This Row],[Sales_Amount]]&gt;10000,"High Value","Normal")</f>
        <v>Normal</v>
      </c>
      <c r="X224" t="str">
        <f t="shared" si="9"/>
        <v>No Discount</v>
      </c>
      <c r="Y224" s="25">
        <f t="shared" si="10"/>
        <v>45566</v>
      </c>
      <c r="Z224">
        <f t="shared" si="11"/>
        <v>2024</v>
      </c>
    </row>
    <row r="225" spans="1:26" x14ac:dyDescent="0.3">
      <c r="A225" t="s">
        <v>556</v>
      </c>
      <c r="B225" s="4" t="s">
        <v>527</v>
      </c>
      <c r="C225" t="s">
        <v>134</v>
      </c>
      <c r="D225" t="s">
        <v>135</v>
      </c>
      <c r="E225" t="s">
        <v>52</v>
      </c>
      <c r="F225" t="s">
        <v>23</v>
      </c>
      <c r="G225" t="s">
        <v>74</v>
      </c>
      <c r="H225" t="s">
        <v>75</v>
      </c>
      <c r="I225" t="s">
        <v>36</v>
      </c>
      <c r="J225" t="s">
        <v>113</v>
      </c>
      <c r="K225" t="s">
        <v>246</v>
      </c>
      <c r="L225" s="8">
        <v>4</v>
      </c>
      <c r="M225" s="12">
        <v>1200</v>
      </c>
      <c r="N225" s="10">
        <v>0</v>
      </c>
      <c r="O225" s="12">
        <v>4800</v>
      </c>
      <c r="P225" s="12">
        <v>751.53</v>
      </c>
      <c r="Q225" s="12">
        <v>416.86</v>
      </c>
      <c r="R225" t="s">
        <v>39</v>
      </c>
      <c r="U225" s="12">
        <f>Table2[[#This Row],[Quantity]]*Table2[[#This Row],[Unit_Price]]*(1-Table2[[#This Row],[ Discount]])</f>
        <v>4800</v>
      </c>
      <c r="V225" s="10">
        <f>Table2[[#This Row],[Profit]]/Table2[[#This Row],[Sales_Amount]]</f>
        <v>0.15656875000000001</v>
      </c>
      <c r="W225" t="str">
        <f>IF(Table2[[#This Row],[Sales_Amount]]&gt;10000,"High Value","Normal")</f>
        <v>Normal</v>
      </c>
      <c r="X225" t="str">
        <f t="shared" si="9"/>
        <v>No Discount</v>
      </c>
      <c r="Y225" s="25">
        <f t="shared" si="10"/>
        <v>45566</v>
      </c>
      <c r="Z225">
        <f t="shared" si="11"/>
        <v>2024</v>
      </c>
    </row>
    <row r="226" spans="1:26" x14ac:dyDescent="0.3">
      <c r="A226" t="s">
        <v>557</v>
      </c>
      <c r="B226" s="4" t="s">
        <v>531</v>
      </c>
      <c r="C226" t="s">
        <v>157</v>
      </c>
      <c r="D226" t="s">
        <v>158</v>
      </c>
      <c r="E226" t="s">
        <v>52</v>
      </c>
      <c r="F226" t="s">
        <v>53</v>
      </c>
      <c r="G226" t="s">
        <v>100</v>
      </c>
      <c r="H226" t="s">
        <v>213</v>
      </c>
      <c r="I226" t="s">
        <v>26</v>
      </c>
      <c r="J226" t="s">
        <v>69</v>
      </c>
      <c r="K226" t="s">
        <v>145</v>
      </c>
      <c r="L226" s="8">
        <v>5</v>
      </c>
      <c r="M226" s="12">
        <v>55000</v>
      </c>
      <c r="N226" s="10">
        <v>0.05</v>
      </c>
      <c r="O226" s="12">
        <v>261250</v>
      </c>
      <c r="P226" s="12">
        <v>69233.39</v>
      </c>
      <c r="Q226" s="12">
        <v>455.34</v>
      </c>
      <c r="R226" t="s">
        <v>64</v>
      </c>
      <c r="U226" s="12">
        <f>Table2[[#This Row],[Quantity]]*Table2[[#This Row],[Unit_Price]]*(1-Table2[[#This Row],[ Discount]])</f>
        <v>261250</v>
      </c>
      <c r="V226" s="10">
        <f>Table2[[#This Row],[Profit]]/Table2[[#This Row],[Sales_Amount]]</f>
        <v>0.26500819138755982</v>
      </c>
      <c r="W226" t="str">
        <f>IF(Table2[[#This Row],[Sales_Amount]]&gt;10000,"High Value","Normal")</f>
        <v>High Value</v>
      </c>
      <c r="X226" t="str">
        <f t="shared" si="9"/>
        <v>Low</v>
      </c>
      <c r="Y226" s="25">
        <f t="shared" si="10"/>
        <v>45566</v>
      </c>
      <c r="Z226">
        <f t="shared" si="11"/>
        <v>2024</v>
      </c>
    </row>
    <row r="227" spans="1:26" x14ac:dyDescent="0.3">
      <c r="A227" t="s">
        <v>558</v>
      </c>
      <c r="B227" s="4" t="s">
        <v>549</v>
      </c>
      <c r="C227" t="s">
        <v>94</v>
      </c>
      <c r="D227" t="s">
        <v>95</v>
      </c>
      <c r="E227" t="s">
        <v>52</v>
      </c>
      <c r="F227" t="s">
        <v>53</v>
      </c>
      <c r="G227" t="s">
        <v>83</v>
      </c>
      <c r="H227" t="s">
        <v>129</v>
      </c>
      <c r="I227" t="s">
        <v>36</v>
      </c>
      <c r="J227" t="s">
        <v>37</v>
      </c>
      <c r="K227" t="s">
        <v>280</v>
      </c>
      <c r="L227" s="8">
        <v>2</v>
      </c>
      <c r="M227" s="12">
        <v>25000</v>
      </c>
      <c r="N227" s="10">
        <v>0.2</v>
      </c>
      <c r="O227" s="12">
        <v>40000</v>
      </c>
      <c r="P227" s="12">
        <v>3503.39</v>
      </c>
      <c r="Q227" s="12">
        <v>361.37</v>
      </c>
      <c r="R227" t="s">
        <v>39</v>
      </c>
      <c r="U227" s="12">
        <f>Table2[[#This Row],[Quantity]]*Table2[[#This Row],[Unit_Price]]*(1-Table2[[#This Row],[ Discount]])</f>
        <v>40000</v>
      </c>
      <c r="V227" s="10">
        <f>Table2[[#This Row],[Profit]]/Table2[[#This Row],[Sales_Amount]]</f>
        <v>8.7584750000000003E-2</v>
      </c>
      <c r="W227" t="str">
        <f>IF(Table2[[#This Row],[Sales_Amount]]&gt;10000,"High Value","Normal")</f>
        <v>High Value</v>
      </c>
      <c r="X227" t="str">
        <f t="shared" si="9"/>
        <v>High</v>
      </c>
      <c r="Y227" s="25">
        <f t="shared" si="10"/>
        <v>45566</v>
      </c>
      <c r="Z227">
        <f t="shared" si="11"/>
        <v>2024</v>
      </c>
    </row>
    <row r="228" spans="1:26" x14ac:dyDescent="0.3">
      <c r="A228" t="s">
        <v>559</v>
      </c>
      <c r="B228" s="4" t="s">
        <v>535</v>
      </c>
      <c r="C228" t="s">
        <v>185</v>
      </c>
      <c r="D228" t="s">
        <v>186</v>
      </c>
      <c r="E228" t="s">
        <v>67</v>
      </c>
      <c r="F228" t="s">
        <v>106</v>
      </c>
      <c r="G228" t="s">
        <v>149</v>
      </c>
      <c r="H228" t="s">
        <v>234</v>
      </c>
      <c r="I228" t="s">
        <v>47</v>
      </c>
      <c r="J228" t="s">
        <v>85</v>
      </c>
      <c r="K228" t="s">
        <v>289</v>
      </c>
      <c r="L228" s="8">
        <v>3</v>
      </c>
      <c r="M228" s="12">
        <v>2200</v>
      </c>
      <c r="N228" s="10">
        <v>0</v>
      </c>
      <c r="O228" s="12">
        <v>6600</v>
      </c>
      <c r="P228" s="12">
        <v>625.89</v>
      </c>
      <c r="Q228" s="12">
        <v>371.99</v>
      </c>
      <c r="R228" t="s">
        <v>64</v>
      </c>
      <c r="U228" s="12">
        <f>Table2[[#This Row],[Quantity]]*Table2[[#This Row],[Unit_Price]]*(1-Table2[[#This Row],[ Discount]])</f>
        <v>6600</v>
      </c>
      <c r="V228" s="10">
        <f>Table2[[#This Row],[Profit]]/Table2[[#This Row],[Sales_Amount]]</f>
        <v>9.4831818181818184E-2</v>
      </c>
      <c r="W228" t="str">
        <f>IF(Table2[[#This Row],[Sales_Amount]]&gt;10000,"High Value","Normal")</f>
        <v>Normal</v>
      </c>
      <c r="X228" t="str">
        <f t="shared" si="9"/>
        <v>No Discount</v>
      </c>
      <c r="Y228" s="25">
        <f t="shared" si="10"/>
        <v>45566</v>
      </c>
      <c r="Z228">
        <f t="shared" si="11"/>
        <v>2024</v>
      </c>
    </row>
    <row r="229" spans="1:26" x14ac:dyDescent="0.3">
      <c r="A229" t="s">
        <v>560</v>
      </c>
      <c r="B229" s="4" t="s">
        <v>561</v>
      </c>
      <c r="C229" t="s">
        <v>178</v>
      </c>
      <c r="D229" t="s">
        <v>179</v>
      </c>
      <c r="E229" t="s">
        <v>52</v>
      </c>
      <c r="F229" t="s">
        <v>53</v>
      </c>
      <c r="G229" t="s">
        <v>83</v>
      </c>
      <c r="H229" t="s">
        <v>84</v>
      </c>
      <c r="I229" t="s">
        <v>26</v>
      </c>
      <c r="J229" t="s">
        <v>91</v>
      </c>
      <c r="K229" t="s">
        <v>308</v>
      </c>
      <c r="L229" s="8">
        <v>2</v>
      </c>
      <c r="M229" s="12">
        <v>4500</v>
      </c>
      <c r="N229" s="10">
        <v>0.1</v>
      </c>
      <c r="O229" s="12">
        <v>8100</v>
      </c>
      <c r="P229" s="12">
        <v>1221.3900000000001</v>
      </c>
      <c r="Q229" s="12">
        <v>483.39</v>
      </c>
      <c r="R229" t="s">
        <v>57</v>
      </c>
      <c r="U229" s="12">
        <f>Table2[[#This Row],[Quantity]]*Table2[[#This Row],[Unit_Price]]*(1-Table2[[#This Row],[ Discount]])</f>
        <v>8100</v>
      </c>
      <c r="V229" s="10">
        <f>Table2[[#This Row],[Profit]]/Table2[[#This Row],[Sales_Amount]]</f>
        <v>0.15078888888888889</v>
      </c>
      <c r="W229" t="str">
        <f>IF(Table2[[#This Row],[Sales_Amount]]&gt;10000,"High Value","Normal")</f>
        <v>Normal</v>
      </c>
      <c r="X229" t="str">
        <f t="shared" si="9"/>
        <v>Medium</v>
      </c>
      <c r="Y229" s="25">
        <f t="shared" si="10"/>
        <v>45566</v>
      </c>
      <c r="Z229">
        <f t="shared" si="11"/>
        <v>2024</v>
      </c>
    </row>
    <row r="230" spans="1:26" x14ac:dyDescent="0.3">
      <c r="A230" t="s">
        <v>562</v>
      </c>
      <c r="B230" s="4" t="s">
        <v>563</v>
      </c>
      <c r="C230" t="s">
        <v>185</v>
      </c>
      <c r="D230" t="s">
        <v>186</v>
      </c>
      <c r="E230" t="s">
        <v>67</v>
      </c>
      <c r="F230" t="s">
        <v>53</v>
      </c>
      <c r="G230" t="s">
        <v>100</v>
      </c>
      <c r="H230" t="s">
        <v>213</v>
      </c>
      <c r="I230" t="s">
        <v>36</v>
      </c>
      <c r="J230" t="s">
        <v>140</v>
      </c>
      <c r="K230" t="s">
        <v>141</v>
      </c>
      <c r="L230" s="8">
        <v>5</v>
      </c>
      <c r="M230" s="12">
        <v>2200</v>
      </c>
      <c r="N230" s="10">
        <v>0.2</v>
      </c>
      <c r="O230" s="12">
        <v>8800</v>
      </c>
      <c r="P230" s="12">
        <v>1844.44</v>
      </c>
      <c r="Q230" s="12">
        <v>147.99</v>
      </c>
      <c r="R230" t="s">
        <v>39</v>
      </c>
      <c r="U230" s="12">
        <f>Table2[[#This Row],[Quantity]]*Table2[[#This Row],[Unit_Price]]*(1-Table2[[#This Row],[ Discount]])</f>
        <v>8800</v>
      </c>
      <c r="V230" s="10">
        <f>Table2[[#This Row],[Profit]]/Table2[[#This Row],[Sales_Amount]]</f>
        <v>0.20959545454545456</v>
      </c>
      <c r="W230" t="str">
        <f>IF(Table2[[#This Row],[Sales_Amount]]&gt;10000,"High Value","Normal")</f>
        <v>Normal</v>
      </c>
      <c r="X230" t="str">
        <f t="shared" si="9"/>
        <v>High</v>
      </c>
      <c r="Y230" s="25">
        <f t="shared" si="10"/>
        <v>45566</v>
      </c>
      <c r="Z230">
        <f t="shared" si="11"/>
        <v>2024</v>
      </c>
    </row>
    <row r="231" spans="1:26" x14ac:dyDescent="0.3">
      <c r="A231" t="s">
        <v>564</v>
      </c>
      <c r="B231" s="4" t="s">
        <v>565</v>
      </c>
      <c r="C231" t="s">
        <v>134</v>
      </c>
      <c r="D231" t="s">
        <v>135</v>
      </c>
      <c r="E231" t="s">
        <v>22</v>
      </c>
      <c r="F231" t="s">
        <v>106</v>
      </c>
      <c r="G231" t="s">
        <v>306</v>
      </c>
      <c r="H231" t="s">
        <v>307</v>
      </c>
      <c r="I231" t="s">
        <v>26</v>
      </c>
      <c r="J231" t="s">
        <v>27</v>
      </c>
      <c r="K231" t="s">
        <v>187</v>
      </c>
      <c r="L231" s="8">
        <v>5</v>
      </c>
      <c r="M231" s="12">
        <v>18000</v>
      </c>
      <c r="N231" s="10">
        <v>0</v>
      </c>
      <c r="O231" s="12">
        <v>90000</v>
      </c>
      <c r="P231" s="12">
        <v>17792.75</v>
      </c>
      <c r="Q231" s="12">
        <v>191.15</v>
      </c>
      <c r="R231" t="s">
        <v>39</v>
      </c>
      <c r="U231" s="12">
        <f>Table2[[#This Row],[Quantity]]*Table2[[#This Row],[Unit_Price]]*(1-Table2[[#This Row],[ Discount]])</f>
        <v>90000</v>
      </c>
      <c r="V231" s="10">
        <f>Table2[[#This Row],[Profit]]/Table2[[#This Row],[Sales_Amount]]</f>
        <v>0.19769722222222222</v>
      </c>
      <c r="W231" t="str">
        <f>IF(Table2[[#This Row],[Sales_Amount]]&gt;10000,"High Value","Normal")</f>
        <v>High Value</v>
      </c>
      <c r="X231" t="str">
        <f t="shared" si="9"/>
        <v>No Discount</v>
      </c>
      <c r="Y231" s="25">
        <f t="shared" si="10"/>
        <v>45566</v>
      </c>
      <c r="Z231">
        <f t="shared" si="11"/>
        <v>2024</v>
      </c>
    </row>
    <row r="232" spans="1:26" x14ac:dyDescent="0.3">
      <c r="A232" t="s">
        <v>566</v>
      </c>
      <c r="B232" s="4" t="s">
        <v>567</v>
      </c>
      <c r="C232" t="s">
        <v>185</v>
      </c>
      <c r="D232" t="s">
        <v>186</v>
      </c>
      <c r="E232" t="s">
        <v>22</v>
      </c>
      <c r="F232" t="s">
        <v>53</v>
      </c>
      <c r="G232" t="s">
        <v>100</v>
      </c>
      <c r="H232" t="s">
        <v>213</v>
      </c>
      <c r="I232" t="s">
        <v>26</v>
      </c>
      <c r="J232" t="s">
        <v>69</v>
      </c>
      <c r="K232" t="s">
        <v>136</v>
      </c>
      <c r="L232" s="8">
        <v>3</v>
      </c>
      <c r="M232" s="12">
        <v>42000</v>
      </c>
      <c r="N232" s="10">
        <v>0.05</v>
      </c>
      <c r="O232" s="12">
        <v>119700</v>
      </c>
      <c r="P232" s="12">
        <v>28875.21</v>
      </c>
      <c r="Q232" s="12">
        <v>472.1</v>
      </c>
      <c r="R232" t="s">
        <v>29</v>
      </c>
      <c r="U232" s="12">
        <f>Table2[[#This Row],[Quantity]]*Table2[[#This Row],[Unit_Price]]*(1-Table2[[#This Row],[ Discount]])</f>
        <v>119700</v>
      </c>
      <c r="V232" s="10">
        <f>Table2[[#This Row],[Profit]]/Table2[[#This Row],[Sales_Amount]]</f>
        <v>0.24122982456140349</v>
      </c>
      <c r="W232" t="str">
        <f>IF(Table2[[#This Row],[Sales_Amount]]&gt;10000,"High Value","Normal")</f>
        <v>High Value</v>
      </c>
      <c r="X232" t="str">
        <f t="shared" si="9"/>
        <v>Low</v>
      </c>
      <c r="Y232" s="25">
        <f t="shared" si="10"/>
        <v>45597</v>
      </c>
      <c r="Z232">
        <f t="shared" si="11"/>
        <v>2024</v>
      </c>
    </row>
    <row r="233" spans="1:26" x14ac:dyDescent="0.3">
      <c r="A233" t="s">
        <v>568</v>
      </c>
      <c r="B233" s="4" t="s">
        <v>569</v>
      </c>
      <c r="C233" t="s">
        <v>104</v>
      </c>
      <c r="D233" t="s">
        <v>105</v>
      </c>
      <c r="E233" t="s">
        <v>67</v>
      </c>
      <c r="F233" t="s">
        <v>53</v>
      </c>
      <c r="G233" t="s">
        <v>54</v>
      </c>
      <c r="H233" t="s">
        <v>203</v>
      </c>
      <c r="I233" t="s">
        <v>47</v>
      </c>
      <c r="J233" t="s">
        <v>48</v>
      </c>
      <c r="K233" t="s">
        <v>407</v>
      </c>
      <c r="L233" s="8">
        <v>5</v>
      </c>
      <c r="M233" s="12">
        <v>1200</v>
      </c>
      <c r="N233" s="10">
        <v>0</v>
      </c>
      <c r="O233" s="12">
        <v>6000</v>
      </c>
      <c r="P233" s="12">
        <v>520.78</v>
      </c>
      <c r="Q233" s="12">
        <v>472.72</v>
      </c>
      <c r="R233" t="s">
        <v>29</v>
      </c>
      <c r="U233" s="12">
        <f>Table2[[#This Row],[Quantity]]*Table2[[#This Row],[Unit_Price]]*(1-Table2[[#This Row],[ Discount]])</f>
        <v>6000</v>
      </c>
      <c r="V233" s="10">
        <f>Table2[[#This Row],[Profit]]/Table2[[#This Row],[Sales_Amount]]</f>
        <v>8.6796666666666661E-2</v>
      </c>
      <c r="W233" t="str">
        <f>IF(Table2[[#This Row],[Sales_Amount]]&gt;10000,"High Value","Normal")</f>
        <v>Normal</v>
      </c>
      <c r="X233" t="str">
        <f t="shared" si="9"/>
        <v>No Discount</v>
      </c>
      <c r="Y233" s="25">
        <f t="shared" si="10"/>
        <v>45597</v>
      </c>
      <c r="Z233">
        <f t="shared" si="11"/>
        <v>2024</v>
      </c>
    </row>
    <row r="234" spans="1:26" x14ac:dyDescent="0.3">
      <c r="A234" t="s">
        <v>570</v>
      </c>
      <c r="B234" s="4" t="s">
        <v>571</v>
      </c>
      <c r="C234" t="s">
        <v>94</v>
      </c>
      <c r="D234" t="s">
        <v>95</v>
      </c>
      <c r="E234" t="s">
        <v>22</v>
      </c>
      <c r="F234" t="s">
        <v>106</v>
      </c>
      <c r="G234" t="s">
        <v>107</v>
      </c>
      <c r="H234" t="s">
        <v>139</v>
      </c>
      <c r="I234" t="s">
        <v>26</v>
      </c>
      <c r="J234" t="s">
        <v>27</v>
      </c>
      <c r="K234" t="s">
        <v>56</v>
      </c>
      <c r="L234" s="8">
        <v>2</v>
      </c>
      <c r="M234" s="12">
        <v>55000</v>
      </c>
      <c r="N234" s="10">
        <v>0</v>
      </c>
      <c r="O234" s="12">
        <v>110000</v>
      </c>
      <c r="P234" s="12">
        <v>21330.62</v>
      </c>
      <c r="Q234" s="12">
        <v>275.77999999999997</v>
      </c>
      <c r="R234" t="s">
        <v>64</v>
      </c>
      <c r="U234" s="12">
        <f>Table2[[#This Row],[Quantity]]*Table2[[#This Row],[Unit_Price]]*(1-Table2[[#This Row],[ Discount]])</f>
        <v>110000</v>
      </c>
      <c r="V234" s="10">
        <f>Table2[[#This Row],[Profit]]/Table2[[#This Row],[Sales_Amount]]</f>
        <v>0.19391472727272727</v>
      </c>
      <c r="W234" t="str">
        <f>IF(Table2[[#This Row],[Sales_Amount]]&gt;10000,"High Value","Normal")</f>
        <v>High Value</v>
      </c>
      <c r="X234" t="str">
        <f t="shared" si="9"/>
        <v>No Discount</v>
      </c>
      <c r="Y234" s="25">
        <f t="shared" si="10"/>
        <v>45597</v>
      </c>
      <c r="Z234">
        <f t="shared" si="11"/>
        <v>2024</v>
      </c>
    </row>
    <row r="235" spans="1:26" x14ac:dyDescent="0.3">
      <c r="A235" t="s">
        <v>572</v>
      </c>
      <c r="B235" s="4" t="s">
        <v>573</v>
      </c>
      <c r="C235" t="s">
        <v>104</v>
      </c>
      <c r="D235" t="s">
        <v>105</v>
      </c>
      <c r="E235" t="s">
        <v>67</v>
      </c>
      <c r="F235" t="s">
        <v>23</v>
      </c>
      <c r="G235" t="s">
        <v>34</v>
      </c>
      <c r="H235" t="s">
        <v>62</v>
      </c>
      <c r="I235" t="s">
        <v>47</v>
      </c>
      <c r="J235" t="s">
        <v>119</v>
      </c>
      <c r="K235" t="s">
        <v>310</v>
      </c>
      <c r="L235" s="8">
        <v>3</v>
      </c>
      <c r="M235" s="12">
        <v>1500</v>
      </c>
      <c r="N235" s="10">
        <v>0.05</v>
      </c>
      <c r="O235" s="12">
        <v>4275</v>
      </c>
      <c r="P235" s="12">
        <v>1054.02</v>
      </c>
      <c r="Q235" s="12">
        <v>480.07</v>
      </c>
      <c r="R235" t="s">
        <v>29</v>
      </c>
      <c r="U235" s="12">
        <f>Table2[[#This Row],[Quantity]]*Table2[[#This Row],[Unit_Price]]*(1-Table2[[#This Row],[ Discount]])</f>
        <v>4275</v>
      </c>
      <c r="V235" s="10">
        <f>Table2[[#This Row],[Profit]]/Table2[[#This Row],[Sales_Amount]]</f>
        <v>0.24655438596491228</v>
      </c>
      <c r="W235" t="str">
        <f>IF(Table2[[#This Row],[Sales_Amount]]&gt;10000,"High Value","Normal")</f>
        <v>Normal</v>
      </c>
      <c r="X235" t="str">
        <f t="shared" si="9"/>
        <v>Low</v>
      </c>
      <c r="Y235" s="25">
        <f t="shared" si="10"/>
        <v>45597</v>
      </c>
      <c r="Z235">
        <f t="shared" si="11"/>
        <v>2024</v>
      </c>
    </row>
    <row r="236" spans="1:26" x14ac:dyDescent="0.3">
      <c r="A236" t="s">
        <v>574</v>
      </c>
      <c r="B236" s="4" t="s">
        <v>575</v>
      </c>
      <c r="C236" t="s">
        <v>42</v>
      </c>
      <c r="D236" t="s">
        <v>43</v>
      </c>
      <c r="E236" t="s">
        <v>67</v>
      </c>
      <c r="F236" t="s">
        <v>44</v>
      </c>
      <c r="G236" t="s">
        <v>192</v>
      </c>
      <c r="H236" t="s">
        <v>271</v>
      </c>
      <c r="I236" t="s">
        <v>47</v>
      </c>
      <c r="J236" t="s">
        <v>85</v>
      </c>
      <c r="K236" t="s">
        <v>86</v>
      </c>
      <c r="L236" s="8">
        <v>1</v>
      </c>
      <c r="M236" s="12">
        <v>3500</v>
      </c>
      <c r="N236" s="10">
        <v>0</v>
      </c>
      <c r="O236" s="12">
        <v>3500</v>
      </c>
      <c r="P236" s="12">
        <v>892.04</v>
      </c>
      <c r="Q236" s="12">
        <v>403.49</v>
      </c>
      <c r="R236" t="s">
        <v>64</v>
      </c>
      <c r="U236" s="12">
        <f>Table2[[#This Row],[Quantity]]*Table2[[#This Row],[Unit_Price]]*(1-Table2[[#This Row],[ Discount]])</f>
        <v>3500</v>
      </c>
      <c r="V236" s="10">
        <f>Table2[[#This Row],[Profit]]/Table2[[#This Row],[Sales_Amount]]</f>
        <v>0.25486857142857144</v>
      </c>
      <c r="W236" t="str">
        <f>IF(Table2[[#This Row],[Sales_Amount]]&gt;10000,"High Value","Normal")</f>
        <v>Normal</v>
      </c>
      <c r="X236" t="str">
        <f t="shared" si="9"/>
        <v>No Discount</v>
      </c>
      <c r="Y236" s="25">
        <f t="shared" si="10"/>
        <v>45597</v>
      </c>
      <c r="Z236">
        <f t="shared" si="11"/>
        <v>2024</v>
      </c>
    </row>
    <row r="237" spans="1:26" x14ac:dyDescent="0.3">
      <c r="A237" t="s">
        <v>576</v>
      </c>
      <c r="B237" s="4" t="s">
        <v>577</v>
      </c>
      <c r="C237" t="s">
        <v>242</v>
      </c>
      <c r="D237" t="s">
        <v>243</v>
      </c>
      <c r="E237" t="s">
        <v>52</v>
      </c>
      <c r="F237" t="s">
        <v>53</v>
      </c>
      <c r="G237" t="s">
        <v>100</v>
      </c>
      <c r="H237" t="s">
        <v>101</v>
      </c>
      <c r="I237" t="s">
        <v>26</v>
      </c>
      <c r="J237" t="s">
        <v>69</v>
      </c>
      <c r="K237" t="s">
        <v>145</v>
      </c>
      <c r="L237" s="8">
        <v>1</v>
      </c>
      <c r="M237" s="12">
        <v>55000</v>
      </c>
      <c r="N237" s="10">
        <v>0</v>
      </c>
      <c r="O237" s="12">
        <v>55000</v>
      </c>
      <c r="P237" s="12">
        <v>6602.51</v>
      </c>
      <c r="Q237" s="12">
        <v>151.53</v>
      </c>
      <c r="R237" t="s">
        <v>29</v>
      </c>
      <c r="U237" s="12">
        <f>Table2[[#This Row],[Quantity]]*Table2[[#This Row],[Unit_Price]]*(1-Table2[[#This Row],[ Discount]])</f>
        <v>55000</v>
      </c>
      <c r="V237" s="10">
        <f>Table2[[#This Row],[Profit]]/Table2[[#This Row],[Sales_Amount]]</f>
        <v>0.12004563636363637</v>
      </c>
      <c r="W237" t="str">
        <f>IF(Table2[[#This Row],[Sales_Amount]]&gt;10000,"High Value","Normal")</f>
        <v>High Value</v>
      </c>
      <c r="X237" t="str">
        <f t="shared" si="9"/>
        <v>No Discount</v>
      </c>
      <c r="Y237" s="25">
        <f t="shared" si="10"/>
        <v>45597</v>
      </c>
      <c r="Z237">
        <f t="shared" si="11"/>
        <v>2024</v>
      </c>
    </row>
    <row r="238" spans="1:26" x14ac:dyDescent="0.3">
      <c r="A238" t="s">
        <v>578</v>
      </c>
      <c r="B238" s="4" t="s">
        <v>569</v>
      </c>
      <c r="C238" t="s">
        <v>127</v>
      </c>
      <c r="D238" t="s">
        <v>128</v>
      </c>
      <c r="E238" t="s">
        <v>22</v>
      </c>
      <c r="F238" t="s">
        <v>53</v>
      </c>
      <c r="G238" t="s">
        <v>83</v>
      </c>
      <c r="H238" t="s">
        <v>84</v>
      </c>
      <c r="I238" t="s">
        <v>36</v>
      </c>
      <c r="J238" t="s">
        <v>140</v>
      </c>
      <c r="K238" t="s">
        <v>141</v>
      </c>
      <c r="L238" s="8">
        <v>1</v>
      </c>
      <c r="M238" s="12">
        <v>2200</v>
      </c>
      <c r="N238" s="10">
        <v>0.05</v>
      </c>
      <c r="O238" s="12">
        <v>2090</v>
      </c>
      <c r="P238" s="12">
        <v>553.77</v>
      </c>
      <c r="Q238" s="12">
        <v>431.79</v>
      </c>
      <c r="R238" t="s">
        <v>29</v>
      </c>
      <c r="U238" s="12">
        <f>Table2[[#This Row],[Quantity]]*Table2[[#This Row],[Unit_Price]]*(1-Table2[[#This Row],[ Discount]])</f>
        <v>2090</v>
      </c>
      <c r="V238" s="10">
        <f>Table2[[#This Row],[Profit]]/Table2[[#This Row],[Sales_Amount]]</f>
        <v>0.26496172248803829</v>
      </c>
      <c r="W238" t="str">
        <f>IF(Table2[[#This Row],[Sales_Amount]]&gt;10000,"High Value","Normal")</f>
        <v>Normal</v>
      </c>
      <c r="X238" t="str">
        <f t="shared" si="9"/>
        <v>Low</v>
      </c>
      <c r="Y238" s="25">
        <f t="shared" si="10"/>
        <v>45597</v>
      </c>
      <c r="Z238">
        <f t="shared" si="11"/>
        <v>2024</v>
      </c>
    </row>
    <row r="239" spans="1:26" x14ac:dyDescent="0.3">
      <c r="A239" t="s">
        <v>579</v>
      </c>
      <c r="B239" s="4" t="s">
        <v>577</v>
      </c>
      <c r="C239" t="s">
        <v>242</v>
      </c>
      <c r="D239" t="s">
        <v>243</v>
      </c>
      <c r="E239" t="s">
        <v>52</v>
      </c>
      <c r="F239" t="s">
        <v>23</v>
      </c>
      <c r="G239" t="s">
        <v>74</v>
      </c>
      <c r="H239" t="s">
        <v>75</v>
      </c>
      <c r="I239" t="s">
        <v>36</v>
      </c>
      <c r="J239" t="s">
        <v>37</v>
      </c>
      <c r="K239" t="s">
        <v>371</v>
      </c>
      <c r="L239" s="8">
        <v>5</v>
      </c>
      <c r="M239" s="12">
        <v>4500</v>
      </c>
      <c r="N239" s="10">
        <v>0</v>
      </c>
      <c r="O239" s="12">
        <v>22500</v>
      </c>
      <c r="P239" s="12">
        <v>2047.15</v>
      </c>
      <c r="Q239" s="12">
        <v>224.14</v>
      </c>
      <c r="R239" t="s">
        <v>57</v>
      </c>
      <c r="U239" s="12">
        <f>Table2[[#This Row],[Quantity]]*Table2[[#This Row],[Unit_Price]]*(1-Table2[[#This Row],[ Discount]])</f>
        <v>22500</v>
      </c>
      <c r="V239" s="10">
        <f>Table2[[#This Row],[Profit]]/Table2[[#This Row],[Sales_Amount]]</f>
        <v>9.0984444444444451E-2</v>
      </c>
      <c r="W239" t="str">
        <f>IF(Table2[[#This Row],[Sales_Amount]]&gt;10000,"High Value","Normal")</f>
        <v>High Value</v>
      </c>
      <c r="X239" t="str">
        <f t="shared" si="9"/>
        <v>No Discount</v>
      </c>
      <c r="Y239" s="25">
        <f t="shared" si="10"/>
        <v>45597</v>
      </c>
      <c r="Z239">
        <f t="shared" si="11"/>
        <v>2024</v>
      </c>
    </row>
    <row r="240" spans="1:26" x14ac:dyDescent="0.3">
      <c r="A240" t="s">
        <v>580</v>
      </c>
      <c r="B240" s="4" t="s">
        <v>581</v>
      </c>
      <c r="C240" t="s">
        <v>162</v>
      </c>
      <c r="D240" t="s">
        <v>163</v>
      </c>
      <c r="E240" t="s">
        <v>67</v>
      </c>
      <c r="F240" t="s">
        <v>23</v>
      </c>
      <c r="G240" t="s">
        <v>24</v>
      </c>
      <c r="H240" t="s">
        <v>351</v>
      </c>
      <c r="I240" t="s">
        <v>36</v>
      </c>
      <c r="J240" t="s">
        <v>37</v>
      </c>
      <c r="K240" t="s">
        <v>125</v>
      </c>
      <c r="L240" s="8">
        <v>1</v>
      </c>
      <c r="M240" s="12">
        <v>8500</v>
      </c>
      <c r="N240" s="10">
        <v>0</v>
      </c>
      <c r="O240" s="12">
        <v>8500</v>
      </c>
      <c r="P240" s="12">
        <v>1452.35</v>
      </c>
      <c r="Q240" s="12">
        <v>377.84</v>
      </c>
      <c r="R240" t="s">
        <v>39</v>
      </c>
      <c r="U240" s="12">
        <f>Table2[[#This Row],[Quantity]]*Table2[[#This Row],[Unit_Price]]*(1-Table2[[#This Row],[ Discount]])</f>
        <v>8500</v>
      </c>
      <c r="V240" s="10">
        <f>Table2[[#This Row],[Profit]]/Table2[[#This Row],[Sales_Amount]]</f>
        <v>0.17086470588235292</v>
      </c>
      <c r="W240" t="str">
        <f>IF(Table2[[#This Row],[Sales_Amount]]&gt;10000,"High Value","Normal")</f>
        <v>Normal</v>
      </c>
      <c r="X240" t="str">
        <f t="shared" si="9"/>
        <v>No Discount</v>
      </c>
      <c r="Y240" s="25">
        <f t="shared" si="10"/>
        <v>45597</v>
      </c>
      <c r="Z240">
        <f t="shared" si="11"/>
        <v>2024</v>
      </c>
    </row>
    <row r="241" spans="1:26" x14ac:dyDescent="0.3">
      <c r="A241" t="s">
        <v>582</v>
      </c>
      <c r="B241" s="4" t="s">
        <v>583</v>
      </c>
      <c r="C241" t="s">
        <v>134</v>
      </c>
      <c r="D241" t="s">
        <v>135</v>
      </c>
      <c r="E241" t="s">
        <v>52</v>
      </c>
      <c r="F241" t="s">
        <v>53</v>
      </c>
      <c r="G241" t="s">
        <v>100</v>
      </c>
      <c r="H241" t="s">
        <v>101</v>
      </c>
      <c r="I241" t="s">
        <v>26</v>
      </c>
      <c r="J241" t="s">
        <v>27</v>
      </c>
      <c r="K241" t="s">
        <v>56</v>
      </c>
      <c r="L241" s="8">
        <v>1</v>
      </c>
      <c r="M241" s="12">
        <v>55000</v>
      </c>
      <c r="N241" s="10">
        <v>0.15</v>
      </c>
      <c r="O241" s="12">
        <v>46750</v>
      </c>
      <c r="P241" s="12">
        <v>10253.43</v>
      </c>
      <c r="Q241" s="12">
        <v>226.28</v>
      </c>
      <c r="R241" t="s">
        <v>57</v>
      </c>
      <c r="U241" s="12">
        <f>Table2[[#This Row],[Quantity]]*Table2[[#This Row],[Unit_Price]]*(1-Table2[[#This Row],[ Discount]])</f>
        <v>46750</v>
      </c>
      <c r="V241" s="10">
        <f>Table2[[#This Row],[Profit]]/Table2[[#This Row],[Sales_Amount]]</f>
        <v>0.21932470588235295</v>
      </c>
      <c r="W241" t="str">
        <f>IF(Table2[[#This Row],[Sales_Amount]]&gt;10000,"High Value","Normal")</f>
        <v>High Value</v>
      </c>
      <c r="X241" t="str">
        <f t="shared" si="9"/>
        <v>High</v>
      </c>
      <c r="Y241" s="25">
        <f t="shared" si="10"/>
        <v>45597</v>
      </c>
      <c r="Z241">
        <f t="shared" si="11"/>
        <v>2024</v>
      </c>
    </row>
    <row r="242" spans="1:26" x14ac:dyDescent="0.3">
      <c r="A242" t="s">
        <v>584</v>
      </c>
      <c r="B242" s="4" t="s">
        <v>575</v>
      </c>
      <c r="C242" t="s">
        <v>60</v>
      </c>
      <c r="D242" t="s">
        <v>61</v>
      </c>
      <c r="E242" t="s">
        <v>67</v>
      </c>
      <c r="F242" t="s">
        <v>44</v>
      </c>
      <c r="G242" t="s">
        <v>45</v>
      </c>
      <c r="H242" t="s">
        <v>96</v>
      </c>
      <c r="I242" t="s">
        <v>36</v>
      </c>
      <c r="J242" t="s">
        <v>113</v>
      </c>
      <c r="K242" t="s">
        <v>159</v>
      </c>
      <c r="L242" s="8">
        <v>1</v>
      </c>
      <c r="M242" s="12">
        <v>1500</v>
      </c>
      <c r="N242" s="10">
        <v>0.1</v>
      </c>
      <c r="O242" s="12">
        <v>1350</v>
      </c>
      <c r="P242" s="12">
        <v>123.68</v>
      </c>
      <c r="Q242" s="12">
        <v>420.62</v>
      </c>
      <c r="R242" t="s">
        <v>57</v>
      </c>
      <c r="U242" s="12">
        <f>Table2[[#This Row],[Quantity]]*Table2[[#This Row],[Unit_Price]]*(1-Table2[[#This Row],[ Discount]])</f>
        <v>1350</v>
      </c>
      <c r="V242" s="10">
        <f>Table2[[#This Row],[Profit]]/Table2[[#This Row],[Sales_Amount]]</f>
        <v>9.1614814814814816E-2</v>
      </c>
      <c r="W242" t="str">
        <f>IF(Table2[[#This Row],[Sales_Amount]]&gt;10000,"High Value","Normal")</f>
        <v>Normal</v>
      </c>
      <c r="X242" t="str">
        <f t="shared" si="9"/>
        <v>Medium</v>
      </c>
      <c r="Y242" s="25">
        <f t="shared" si="10"/>
        <v>45597</v>
      </c>
      <c r="Z242">
        <f t="shared" si="11"/>
        <v>2024</v>
      </c>
    </row>
    <row r="243" spans="1:26" x14ac:dyDescent="0.3">
      <c r="A243" t="s">
        <v>585</v>
      </c>
      <c r="B243" s="4" t="s">
        <v>583</v>
      </c>
      <c r="C243" t="s">
        <v>278</v>
      </c>
      <c r="D243" t="s">
        <v>279</v>
      </c>
      <c r="E243" t="s">
        <v>22</v>
      </c>
      <c r="F243" t="s">
        <v>44</v>
      </c>
      <c r="G243" t="s">
        <v>216</v>
      </c>
      <c r="H243" t="s">
        <v>316</v>
      </c>
      <c r="I243" t="s">
        <v>36</v>
      </c>
      <c r="J243" t="s">
        <v>113</v>
      </c>
      <c r="K243" t="s">
        <v>220</v>
      </c>
      <c r="L243" s="8">
        <v>1</v>
      </c>
      <c r="M243" s="12">
        <v>1800</v>
      </c>
      <c r="N243" s="10">
        <v>0</v>
      </c>
      <c r="O243" s="12">
        <v>1800</v>
      </c>
      <c r="P243" s="12">
        <v>260.02999999999997</v>
      </c>
      <c r="Q243" s="12">
        <v>72.349999999999994</v>
      </c>
      <c r="R243" t="s">
        <v>39</v>
      </c>
      <c r="U243" s="12">
        <f>Table2[[#This Row],[Quantity]]*Table2[[#This Row],[Unit_Price]]*(1-Table2[[#This Row],[ Discount]])</f>
        <v>1800</v>
      </c>
      <c r="V243" s="10">
        <f>Table2[[#This Row],[Profit]]/Table2[[#This Row],[Sales_Amount]]</f>
        <v>0.1444611111111111</v>
      </c>
      <c r="W243" t="str">
        <f>IF(Table2[[#This Row],[Sales_Amount]]&gt;10000,"High Value","Normal")</f>
        <v>Normal</v>
      </c>
      <c r="X243" t="str">
        <f t="shared" si="9"/>
        <v>No Discount</v>
      </c>
      <c r="Y243" s="25">
        <f t="shared" si="10"/>
        <v>45597</v>
      </c>
      <c r="Z243">
        <f t="shared" si="11"/>
        <v>2024</v>
      </c>
    </row>
    <row r="244" spans="1:26" x14ac:dyDescent="0.3">
      <c r="A244" t="s">
        <v>586</v>
      </c>
      <c r="B244" s="4" t="s">
        <v>587</v>
      </c>
      <c r="C244" t="s">
        <v>242</v>
      </c>
      <c r="D244" t="s">
        <v>243</v>
      </c>
      <c r="E244" t="s">
        <v>67</v>
      </c>
      <c r="F244" t="s">
        <v>53</v>
      </c>
      <c r="G244" t="s">
        <v>83</v>
      </c>
      <c r="H244" t="s">
        <v>84</v>
      </c>
      <c r="I244" t="s">
        <v>36</v>
      </c>
      <c r="J244" t="s">
        <v>140</v>
      </c>
      <c r="K244" t="s">
        <v>404</v>
      </c>
      <c r="L244" s="8">
        <v>2</v>
      </c>
      <c r="M244" s="12">
        <v>3200</v>
      </c>
      <c r="N244" s="10">
        <v>0.1</v>
      </c>
      <c r="O244" s="12">
        <v>5760</v>
      </c>
      <c r="P244" s="12">
        <v>1220.6199999999999</v>
      </c>
      <c r="Q244" s="12">
        <v>172.24</v>
      </c>
      <c r="R244" t="s">
        <v>29</v>
      </c>
      <c r="U244" s="12">
        <f>Table2[[#This Row],[Quantity]]*Table2[[#This Row],[Unit_Price]]*(1-Table2[[#This Row],[ Discount]])</f>
        <v>5760</v>
      </c>
      <c r="V244" s="10">
        <f>Table2[[#This Row],[Profit]]/Table2[[#This Row],[Sales_Amount]]</f>
        <v>0.21191319444444442</v>
      </c>
      <c r="W244" t="str">
        <f>IF(Table2[[#This Row],[Sales_Amount]]&gt;10000,"High Value","Normal")</f>
        <v>Normal</v>
      </c>
      <c r="X244" t="str">
        <f t="shared" si="9"/>
        <v>Medium</v>
      </c>
      <c r="Y244" s="25">
        <f t="shared" si="10"/>
        <v>45597</v>
      </c>
      <c r="Z244">
        <f t="shared" si="11"/>
        <v>2024</v>
      </c>
    </row>
    <row r="245" spans="1:26" x14ac:dyDescent="0.3">
      <c r="A245" t="s">
        <v>588</v>
      </c>
      <c r="B245" s="4" t="s">
        <v>583</v>
      </c>
      <c r="C245" t="s">
        <v>104</v>
      </c>
      <c r="D245" t="s">
        <v>105</v>
      </c>
      <c r="E245" t="s">
        <v>67</v>
      </c>
      <c r="F245" t="s">
        <v>44</v>
      </c>
      <c r="G245" t="s">
        <v>192</v>
      </c>
      <c r="H245" t="s">
        <v>193</v>
      </c>
      <c r="I245" t="s">
        <v>36</v>
      </c>
      <c r="J245" t="s">
        <v>37</v>
      </c>
      <c r="K245" t="s">
        <v>38</v>
      </c>
      <c r="L245" s="8">
        <v>4</v>
      </c>
      <c r="M245" s="12">
        <v>6000</v>
      </c>
      <c r="N245" s="10">
        <v>0.15</v>
      </c>
      <c r="O245" s="12">
        <v>20400</v>
      </c>
      <c r="P245" s="12">
        <v>2311.0300000000002</v>
      </c>
      <c r="Q245" s="12">
        <v>387.67</v>
      </c>
      <c r="R245" t="s">
        <v>64</v>
      </c>
      <c r="U245" s="12">
        <f>Table2[[#This Row],[Quantity]]*Table2[[#This Row],[Unit_Price]]*(1-Table2[[#This Row],[ Discount]])</f>
        <v>20400</v>
      </c>
      <c r="V245" s="10">
        <f>Table2[[#This Row],[Profit]]/Table2[[#This Row],[Sales_Amount]]</f>
        <v>0.1132857843137255</v>
      </c>
      <c r="W245" t="str">
        <f>IF(Table2[[#This Row],[Sales_Amount]]&gt;10000,"High Value","Normal")</f>
        <v>High Value</v>
      </c>
      <c r="X245" t="str">
        <f t="shared" si="9"/>
        <v>High</v>
      </c>
      <c r="Y245" s="25">
        <f t="shared" si="10"/>
        <v>45597</v>
      </c>
      <c r="Z245">
        <f t="shared" si="11"/>
        <v>2024</v>
      </c>
    </row>
    <row r="246" spans="1:26" x14ac:dyDescent="0.3">
      <c r="A246" t="s">
        <v>589</v>
      </c>
      <c r="B246" s="4" t="s">
        <v>587</v>
      </c>
      <c r="C246" t="s">
        <v>78</v>
      </c>
      <c r="D246" t="s">
        <v>79</v>
      </c>
      <c r="E246" t="s">
        <v>52</v>
      </c>
      <c r="F246" t="s">
        <v>23</v>
      </c>
      <c r="G246" t="s">
        <v>74</v>
      </c>
      <c r="H246" t="s">
        <v>152</v>
      </c>
      <c r="I246" t="s">
        <v>36</v>
      </c>
      <c r="J246" t="s">
        <v>37</v>
      </c>
      <c r="K246" t="s">
        <v>371</v>
      </c>
      <c r="L246" s="8">
        <v>4</v>
      </c>
      <c r="M246" s="12">
        <v>4500</v>
      </c>
      <c r="N246" s="10">
        <v>0.15</v>
      </c>
      <c r="O246" s="12">
        <v>15300</v>
      </c>
      <c r="P246" s="12">
        <v>2497.4299999999998</v>
      </c>
      <c r="Q246" s="12">
        <v>309.48</v>
      </c>
      <c r="R246" t="s">
        <v>29</v>
      </c>
      <c r="U246" s="12">
        <f>Table2[[#This Row],[Quantity]]*Table2[[#This Row],[Unit_Price]]*(1-Table2[[#This Row],[ Discount]])</f>
        <v>15300</v>
      </c>
      <c r="V246" s="10">
        <f>Table2[[#This Row],[Profit]]/Table2[[#This Row],[Sales_Amount]]</f>
        <v>0.16323071895424834</v>
      </c>
      <c r="W246" t="str">
        <f>IF(Table2[[#This Row],[Sales_Amount]]&gt;10000,"High Value","Normal")</f>
        <v>High Value</v>
      </c>
      <c r="X246" t="str">
        <f t="shared" si="9"/>
        <v>High</v>
      </c>
      <c r="Y246" s="25">
        <f t="shared" si="10"/>
        <v>45597</v>
      </c>
      <c r="Z246">
        <f t="shared" si="11"/>
        <v>2024</v>
      </c>
    </row>
    <row r="247" spans="1:26" x14ac:dyDescent="0.3">
      <c r="A247" t="s">
        <v>590</v>
      </c>
      <c r="B247" s="4" t="s">
        <v>591</v>
      </c>
      <c r="C247" t="s">
        <v>206</v>
      </c>
      <c r="D247" t="s">
        <v>207</v>
      </c>
      <c r="E247" t="s">
        <v>52</v>
      </c>
      <c r="F247" t="s">
        <v>53</v>
      </c>
      <c r="G247" t="s">
        <v>100</v>
      </c>
      <c r="H247" t="s">
        <v>101</v>
      </c>
      <c r="I247" t="s">
        <v>36</v>
      </c>
      <c r="J247" t="s">
        <v>140</v>
      </c>
      <c r="K247" t="s">
        <v>337</v>
      </c>
      <c r="L247" s="8">
        <v>4</v>
      </c>
      <c r="M247" s="12">
        <v>5500</v>
      </c>
      <c r="N247" s="10">
        <v>0.15</v>
      </c>
      <c r="O247" s="12">
        <v>18700</v>
      </c>
      <c r="P247" s="12">
        <v>4901.66</v>
      </c>
      <c r="Q247" s="12">
        <v>140.41999999999999</v>
      </c>
      <c r="R247" t="s">
        <v>57</v>
      </c>
      <c r="U247" s="12">
        <f>Table2[[#This Row],[Quantity]]*Table2[[#This Row],[Unit_Price]]*(1-Table2[[#This Row],[ Discount]])</f>
        <v>18700</v>
      </c>
      <c r="V247" s="10">
        <f>Table2[[#This Row],[Profit]]/Table2[[#This Row],[Sales_Amount]]</f>
        <v>0.26212085561497328</v>
      </c>
      <c r="W247" t="str">
        <f>IF(Table2[[#This Row],[Sales_Amount]]&gt;10000,"High Value","Normal")</f>
        <v>High Value</v>
      </c>
      <c r="X247" t="str">
        <f t="shared" si="9"/>
        <v>High</v>
      </c>
      <c r="Y247" s="25">
        <f t="shared" si="10"/>
        <v>45597</v>
      </c>
      <c r="Z247">
        <f t="shared" si="11"/>
        <v>2024</v>
      </c>
    </row>
    <row r="248" spans="1:26" x14ac:dyDescent="0.3">
      <c r="A248" t="s">
        <v>592</v>
      </c>
      <c r="B248" s="4" t="s">
        <v>571</v>
      </c>
      <c r="C248" t="s">
        <v>242</v>
      </c>
      <c r="D248" t="s">
        <v>243</v>
      </c>
      <c r="E248" t="s">
        <v>52</v>
      </c>
      <c r="F248" t="s">
        <v>106</v>
      </c>
      <c r="G248" t="s">
        <v>149</v>
      </c>
      <c r="H248" t="s">
        <v>180</v>
      </c>
      <c r="I248" t="s">
        <v>47</v>
      </c>
      <c r="J248" t="s">
        <v>119</v>
      </c>
      <c r="K248" t="s">
        <v>120</v>
      </c>
      <c r="L248" s="8">
        <v>1</v>
      </c>
      <c r="M248" s="12">
        <v>1800</v>
      </c>
      <c r="N248" s="10">
        <v>0</v>
      </c>
      <c r="O248" s="12">
        <v>1800</v>
      </c>
      <c r="P248" s="12">
        <v>287.43</v>
      </c>
      <c r="Q248" s="12">
        <v>335.05</v>
      </c>
      <c r="R248" t="s">
        <v>39</v>
      </c>
      <c r="U248" s="12">
        <f>Table2[[#This Row],[Quantity]]*Table2[[#This Row],[Unit_Price]]*(1-Table2[[#This Row],[ Discount]])</f>
        <v>1800</v>
      </c>
      <c r="V248" s="10">
        <f>Table2[[#This Row],[Profit]]/Table2[[#This Row],[Sales_Amount]]</f>
        <v>0.15968333333333334</v>
      </c>
      <c r="W248" t="str">
        <f>IF(Table2[[#This Row],[Sales_Amount]]&gt;10000,"High Value","Normal")</f>
        <v>Normal</v>
      </c>
      <c r="X248" t="str">
        <f t="shared" si="9"/>
        <v>No Discount</v>
      </c>
      <c r="Y248" s="25">
        <f t="shared" si="10"/>
        <v>45597</v>
      </c>
      <c r="Z248">
        <f t="shared" si="11"/>
        <v>2024</v>
      </c>
    </row>
    <row r="249" spans="1:26" x14ac:dyDescent="0.3">
      <c r="A249" t="s">
        <v>593</v>
      </c>
      <c r="B249" s="4" t="s">
        <v>594</v>
      </c>
      <c r="C249" t="s">
        <v>78</v>
      </c>
      <c r="D249" t="s">
        <v>79</v>
      </c>
      <c r="E249" t="s">
        <v>52</v>
      </c>
      <c r="F249" t="s">
        <v>106</v>
      </c>
      <c r="G249" t="s">
        <v>306</v>
      </c>
      <c r="H249" t="s">
        <v>307</v>
      </c>
      <c r="I249" t="s">
        <v>36</v>
      </c>
      <c r="J249" t="s">
        <v>37</v>
      </c>
      <c r="K249" t="s">
        <v>38</v>
      </c>
      <c r="L249" s="8">
        <v>1</v>
      </c>
      <c r="M249" s="12">
        <v>6000</v>
      </c>
      <c r="N249" s="10">
        <v>0.15</v>
      </c>
      <c r="O249" s="12">
        <v>5100</v>
      </c>
      <c r="P249" s="12">
        <v>778.73</v>
      </c>
      <c r="Q249" s="12">
        <v>190.85</v>
      </c>
      <c r="R249" t="s">
        <v>64</v>
      </c>
      <c r="U249" s="12">
        <f>Table2[[#This Row],[Quantity]]*Table2[[#This Row],[Unit_Price]]*(1-Table2[[#This Row],[ Discount]])</f>
        <v>5100</v>
      </c>
      <c r="V249" s="10">
        <f>Table2[[#This Row],[Profit]]/Table2[[#This Row],[Sales_Amount]]</f>
        <v>0.15269215686274509</v>
      </c>
      <c r="W249" t="str">
        <f>IF(Table2[[#This Row],[Sales_Amount]]&gt;10000,"High Value","Normal")</f>
        <v>Normal</v>
      </c>
      <c r="X249" t="str">
        <f t="shared" si="9"/>
        <v>High</v>
      </c>
      <c r="Y249" s="25">
        <f t="shared" si="10"/>
        <v>45597</v>
      </c>
      <c r="Z249">
        <f t="shared" si="11"/>
        <v>2024</v>
      </c>
    </row>
    <row r="250" spans="1:26" x14ac:dyDescent="0.3">
      <c r="A250" t="s">
        <v>595</v>
      </c>
      <c r="B250" s="4" t="s">
        <v>596</v>
      </c>
      <c r="C250" t="s">
        <v>178</v>
      </c>
      <c r="D250" t="s">
        <v>179</v>
      </c>
      <c r="E250" t="s">
        <v>22</v>
      </c>
      <c r="F250" t="s">
        <v>53</v>
      </c>
      <c r="G250" t="s">
        <v>100</v>
      </c>
      <c r="H250" t="s">
        <v>213</v>
      </c>
      <c r="I250" t="s">
        <v>47</v>
      </c>
      <c r="J250" t="s">
        <v>85</v>
      </c>
      <c r="K250" t="s">
        <v>102</v>
      </c>
      <c r="L250" s="8">
        <v>2</v>
      </c>
      <c r="M250" s="12">
        <v>3200</v>
      </c>
      <c r="N250" s="10">
        <v>0.05</v>
      </c>
      <c r="O250" s="12">
        <v>6080</v>
      </c>
      <c r="P250" s="12">
        <v>1019.16</v>
      </c>
      <c r="Q250" s="12">
        <v>169.12</v>
      </c>
      <c r="R250" t="s">
        <v>39</v>
      </c>
      <c r="U250" s="12">
        <f>Table2[[#This Row],[Quantity]]*Table2[[#This Row],[Unit_Price]]*(1-Table2[[#This Row],[ Discount]])</f>
        <v>6080</v>
      </c>
      <c r="V250" s="10">
        <f>Table2[[#This Row],[Profit]]/Table2[[#This Row],[Sales_Amount]]</f>
        <v>0.167625</v>
      </c>
      <c r="W250" t="str">
        <f>IF(Table2[[#This Row],[Sales_Amount]]&gt;10000,"High Value","Normal")</f>
        <v>Normal</v>
      </c>
      <c r="X250" t="str">
        <f t="shared" si="9"/>
        <v>Low</v>
      </c>
      <c r="Y250" s="25">
        <f t="shared" si="10"/>
        <v>45597</v>
      </c>
      <c r="Z250">
        <f t="shared" si="11"/>
        <v>2024</v>
      </c>
    </row>
    <row r="251" spans="1:26" x14ac:dyDescent="0.3">
      <c r="A251" t="s">
        <v>597</v>
      </c>
      <c r="B251" s="4" t="s">
        <v>581</v>
      </c>
      <c r="C251" t="s">
        <v>166</v>
      </c>
      <c r="D251" t="s">
        <v>167</v>
      </c>
      <c r="E251" t="s">
        <v>22</v>
      </c>
      <c r="F251" t="s">
        <v>53</v>
      </c>
      <c r="G251" t="s">
        <v>54</v>
      </c>
      <c r="H251" t="s">
        <v>55</v>
      </c>
      <c r="I251" t="s">
        <v>36</v>
      </c>
      <c r="J251" t="s">
        <v>140</v>
      </c>
      <c r="K251" t="s">
        <v>287</v>
      </c>
      <c r="L251" s="8">
        <v>3</v>
      </c>
      <c r="M251" s="12">
        <v>4000</v>
      </c>
      <c r="N251" s="10">
        <v>0</v>
      </c>
      <c r="O251" s="12">
        <v>12000</v>
      </c>
      <c r="P251" s="12">
        <v>1567.16</v>
      </c>
      <c r="Q251" s="12">
        <v>468.3</v>
      </c>
      <c r="R251" t="s">
        <v>64</v>
      </c>
      <c r="U251" s="12">
        <f>Table2[[#This Row],[Quantity]]*Table2[[#This Row],[Unit_Price]]*(1-Table2[[#This Row],[ Discount]])</f>
        <v>12000</v>
      </c>
      <c r="V251" s="10">
        <f>Table2[[#This Row],[Profit]]/Table2[[#This Row],[Sales_Amount]]</f>
        <v>0.13059666666666667</v>
      </c>
      <c r="W251" t="str">
        <f>IF(Table2[[#This Row],[Sales_Amount]]&gt;10000,"High Value","Normal")</f>
        <v>High Value</v>
      </c>
      <c r="X251" t="str">
        <f t="shared" si="9"/>
        <v>No Discount</v>
      </c>
      <c r="Y251" s="25">
        <f t="shared" si="10"/>
        <v>45597</v>
      </c>
      <c r="Z251">
        <f t="shared" si="11"/>
        <v>2024</v>
      </c>
    </row>
    <row r="252" spans="1:26" x14ac:dyDescent="0.3">
      <c r="A252" t="s">
        <v>598</v>
      </c>
      <c r="B252" s="4" t="s">
        <v>599</v>
      </c>
      <c r="C252" t="s">
        <v>20</v>
      </c>
      <c r="D252" t="s">
        <v>21</v>
      </c>
      <c r="E252" t="s">
        <v>52</v>
      </c>
      <c r="F252" t="s">
        <v>23</v>
      </c>
      <c r="G252" t="s">
        <v>34</v>
      </c>
      <c r="H252" t="s">
        <v>35</v>
      </c>
      <c r="I252" t="s">
        <v>36</v>
      </c>
      <c r="J252" t="s">
        <v>113</v>
      </c>
      <c r="K252" t="s">
        <v>246</v>
      </c>
      <c r="L252" s="8">
        <v>5</v>
      </c>
      <c r="M252" s="12">
        <v>1200</v>
      </c>
      <c r="N252" s="10">
        <v>0.05</v>
      </c>
      <c r="O252" s="12">
        <v>5700</v>
      </c>
      <c r="P252" s="12">
        <v>719.1</v>
      </c>
      <c r="Q252" s="12">
        <v>165.93</v>
      </c>
      <c r="R252" t="s">
        <v>64</v>
      </c>
      <c r="U252" s="12">
        <f>Table2[[#This Row],[Quantity]]*Table2[[#This Row],[Unit_Price]]*(1-Table2[[#This Row],[ Discount]])</f>
        <v>5700</v>
      </c>
      <c r="V252" s="10">
        <f>Table2[[#This Row],[Profit]]/Table2[[#This Row],[Sales_Amount]]</f>
        <v>0.12615789473684211</v>
      </c>
      <c r="W252" t="str">
        <f>IF(Table2[[#This Row],[Sales_Amount]]&gt;10000,"High Value","Normal")</f>
        <v>Normal</v>
      </c>
      <c r="X252" t="str">
        <f t="shared" si="9"/>
        <v>Low</v>
      </c>
      <c r="Y252" s="25">
        <f t="shared" si="10"/>
        <v>45597</v>
      </c>
      <c r="Z252">
        <f t="shared" si="11"/>
        <v>2024</v>
      </c>
    </row>
    <row r="253" spans="1:26" x14ac:dyDescent="0.3">
      <c r="A253" t="s">
        <v>600</v>
      </c>
      <c r="B253" s="4" t="s">
        <v>569</v>
      </c>
      <c r="C253" t="s">
        <v>185</v>
      </c>
      <c r="D253" t="s">
        <v>186</v>
      </c>
      <c r="E253" t="s">
        <v>67</v>
      </c>
      <c r="F253" t="s">
        <v>106</v>
      </c>
      <c r="G253" t="s">
        <v>107</v>
      </c>
      <c r="H253" t="s">
        <v>108</v>
      </c>
      <c r="I253" t="s">
        <v>47</v>
      </c>
      <c r="J253" t="s">
        <v>119</v>
      </c>
      <c r="K253" t="s">
        <v>254</v>
      </c>
      <c r="L253" s="8">
        <v>3</v>
      </c>
      <c r="M253" s="12">
        <v>1200</v>
      </c>
      <c r="N253" s="10">
        <v>0.1</v>
      </c>
      <c r="O253" s="12">
        <v>3240</v>
      </c>
      <c r="P253" s="12">
        <v>533.66</v>
      </c>
      <c r="Q253" s="12">
        <v>345.18</v>
      </c>
      <c r="R253" t="s">
        <v>64</v>
      </c>
      <c r="U253" s="12">
        <f>Table2[[#This Row],[Quantity]]*Table2[[#This Row],[Unit_Price]]*(1-Table2[[#This Row],[ Discount]])</f>
        <v>3240</v>
      </c>
      <c r="V253" s="10">
        <f>Table2[[#This Row],[Profit]]/Table2[[#This Row],[Sales_Amount]]</f>
        <v>0.16470987654320987</v>
      </c>
      <c r="W253" t="str">
        <f>IF(Table2[[#This Row],[Sales_Amount]]&gt;10000,"High Value","Normal")</f>
        <v>Normal</v>
      </c>
      <c r="X253" t="str">
        <f t="shared" si="9"/>
        <v>Medium</v>
      </c>
      <c r="Y253" s="25">
        <f t="shared" si="10"/>
        <v>45597</v>
      </c>
      <c r="Z253">
        <f t="shared" si="11"/>
        <v>2024</v>
      </c>
    </row>
    <row r="254" spans="1:26" x14ac:dyDescent="0.3">
      <c r="A254" t="s">
        <v>601</v>
      </c>
      <c r="B254" s="4" t="s">
        <v>602</v>
      </c>
      <c r="C254" t="s">
        <v>147</v>
      </c>
      <c r="D254" t="s">
        <v>148</v>
      </c>
      <c r="E254" t="s">
        <v>67</v>
      </c>
      <c r="F254" t="s">
        <v>23</v>
      </c>
      <c r="G254" t="s">
        <v>34</v>
      </c>
      <c r="H254" t="s">
        <v>239</v>
      </c>
      <c r="I254" t="s">
        <v>47</v>
      </c>
      <c r="J254" t="s">
        <v>85</v>
      </c>
      <c r="K254" t="s">
        <v>102</v>
      </c>
      <c r="L254" s="8">
        <v>4</v>
      </c>
      <c r="M254" s="12">
        <v>3200</v>
      </c>
      <c r="N254" s="10">
        <v>0</v>
      </c>
      <c r="O254" s="12">
        <v>12800</v>
      </c>
      <c r="P254" s="12">
        <v>2109.42</v>
      </c>
      <c r="Q254" s="12">
        <v>184.13</v>
      </c>
      <c r="R254" t="s">
        <v>29</v>
      </c>
      <c r="U254" s="12">
        <f>Table2[[#This Row],[Quantity]]*Table2[[#This Row],[Unit_Price]]*(1-Table2[[#This Row],[ Discount]])</f>
        <v>12800</v>
      </c>
      <c r="V254" s="10">
        <f>Table2[[#This Row],[Profit]]/Table2[[#This Row],[Sales_Amount]]</f>
        <v>0.16479843750000001</v>
      </c>
      <c r="W254" t="str">
        <f>IF(Table2[[#This Row],[Sales_Amount]]&gt;10000,"High Value","Normal")</f>
        <v>High Value</v>
      </c>
      <c r="X254" t="str">
        <f t="shared" si="9"/>
        <v>No Discount</v>
      </c>
      <c r="Y254" s="25">
        <f t="shared" si="10"/>
        <v>45627</v>
      </c>
      <c r="Z254">
        <f t="shared" si="11"/>
        <v>2024</v>
      </c>
    </row>
    <row r="255" spans="1:26" x14ac:dyDescent="0.3">
      <c r="A255" t="s">
        <v>603</v>
      </c>
      <c r="B255" s="4" t="s">
        <v>604</v>
      </c>
      <c r="C255" t="s">
        <v>162</v>
      </c>
      <c r="D255" t="s">
        <v>163</v>
      </c>
      <c r="E255" t="s">
        <v>52</v>
      </c>
      <c r="F255" t="s">
        <v>23</v>
      </c>
      <c r="G255" t="s">
        <v>34</v>
      </c>
      <c r="H255" t="s">
        <v>239</v>
      </c>
      <c r="I255" t="s">
        <v>36</v>
      </c>
      <c r="J255" t="s">
        <v>140</v>
      </c>
      <c r="K255" t="s">
        <v>168</v>
      </c>
      <c r="L255" s="8">
        <v>1</v>
      </c>
      <c r="M255" s="12">
        <v>1800</v>
      </c>
      <c r="N255" s="10">
        <v>0.1</v>
      </c>
      <c r="O255" s="12">
        <v>1620</v>
      </c>
      <c r="P255" s="12">
        <v>254.99</v>
      </c>
      <c r="Q255" s="12">
        <v>328.07</v>
      </c>
      <c r="R255" t="s">
        <v>64</v>
      </c>
      <c r="U255" s="12">
        <f>Table2[[#This Row],[Quantity]]*Table2[[#This Row],[Unit_Price]]*(1-Table2[[#This Row],[ Discount]])</f>
        <v>1620</v>
      </c>
      <c r="V255" s="10">
        <f>Table2[[#This Row],[Profit]]/Table2[[#This Row],[Sales_Amount]]</f>
        <v>0.15740123456790123</v>
      </c>
      <c r="W255" t="str">
        <f>IF(Table2[[#This Row],[Sales_Amount]]&gt;10000,"High Value","Normal")</f>
        <v>Normal</v>
      </c>
      <c r="X255" t="str">
        <f t="shared" si="9"/>
        <v>Medium</v>
      </c>
      <c r="Y255" s="25">
        <f t="shared" si="10"/>
        <v>45627</v>
      </c>
      <c r="Z255">
        <f t="shared" si="11"/>
        <v>2024</v>
      </c>
    </row>
    <row r="256" spans="1:26" x14ac:dyDescent="0.3">
      <c r="A256" t="s">
        <v>605</v>
      </c>
      <c r="B256" s="4" t="s">
        <v>602</v>
      </c>
      <c r="C256" t="s">
        <v>147</v>
      </c>
      <c r="D256" t="s">
        <v>148</v>
      </c>
      <c r="E256" t="s">
        <v>67</v>
      </c>
      <c r="F256" t="s">
        <v>23</v>
      </c>
      <c r="G256" t="s">
        <v>24</v>
      </c>
      <c r="H256" t="s">
        <v>68</v>
      </c>
      <c r="I256" t="s">
        <v>47</v>
      </c>
      <c r="J256" t="s">
        <v>48</v>
      </c>
      <c r="K256" t="s">
        <v>407</v>
      </c>
      <c r="L256" s="8">
        <v>5</v>
      </c>
      <c r="M256" s="12">
        <v>1200</v>
      </c>
      <c r="N256" s="10">
        <v>0</v>
      </c>
      <c r="O256" s="12">
        <v>6000</v>
      </c>
      <c r="P256" s="12">
        <v>1056.22</v>
      </c>
      <c r="Q256" s="12">
        <v>359.28</v>
      </c>
      <c r="R256" t="s">
        <v>39</v>
      </c>
      <c r="U256" s="12">
        <f>Table2[[#This Row],[Quantity]]*Table2[[#This Row],[Unit_Price]]*(1-Table2[[#This Row],[ Discount]])</f>
        <v>6000</v>
      </c>
      <c r="V256" s="10">
        <f>Table2[[#This Row],[Profit]]/Table2[[#This Row],[Sales_Amount]]</f>
        <v>0.17603666666666667</v>
      </c>
      <c r="W256" t="str">
        <f>IF(Table2[[#This Row],[Sales_Amount]]&gt;10000,"High Value","Normal")</f>
        <v>Normal</v>
      </c>
      <c r="X256" t="str">
        <f t="shared" si="9"/>
        <v>No Discount</v>
      </c>
      <c r="Y256" s="25">
        <f t="shared" si="10"/>
        <v>45627</v>
      </c>
      <c r="Z256">
        <f t="shared" si="11"/>
        <v>2024</v>
      </c>
    </row>
    <row r="257" spans="1:26" x14ac:dyDescent="0.3">
      <c r="A257" t="s">
        <v>606</v>
      </c>
      <c r="B257" s="4" t="s">
        <v>604</v>
      </c>
      <c r="C257" t="s">
        <v>104</v>
      </c>
      <c r="D257" t="s">
        <v>105</v>
      </c>
      <c r="E257" t="s">
        <v>67</v>
      </c>
      <c r="F257" t="s">
        <v>53</v>
      </c>
      <c r="G257" t="s">
        <v>83</v>
      </c>
      <c r="H257" t="s">
        <v>84</v>
      </c>
      <c r="I257" t="s">
        <v>47</v>
      </c>
      <c r="J257" t="s">
        <v>119</v>
      </c>
      <c r="K257" t="s">
        <v>254</v>
      </c>
      <c r="L257" s="8">
        <v>4</v>
      </c>
      <c r="M257" s="12">
        <v>1200</v>
      </c>
      <c r="N257" s="10">
        <v>0.1</v>
      </c>
      <c r="O257" s="12">
        <v>4320</v>
      </c>
      <c r="P257" s="12">
        <v>738.91</v>
      </c>
      <c r="Q257" s="12">
        <v>239.33</v>
      </c>
      <c r="R257" t="s">
        <v>39</v>
      </c>
      <c r="U257" s="12">
        <f>Table2[[#This Row],[Quantity]]*Table2[[#This Row],[Unit_Price]]*(1-Table2[[#This Row],[ Discount]])</f>
        <v>4320</v>
      </c>
      <c r="V257" s="10">
        <f>Table2[[#This Row],[Profit]]/Table2[[#This Row],[Sales_Amount]]</f>
        <v>0.17104398148148148</v>
      </c>
      <c r="W257" t="str">
        <f>IF(Table2[[#This Row],[Sales_Amount]]&gt;10000,"High Value","Normal")</f>
        <v>Normal</v>
      </c>
      <c r="X257" t="str">
        <f t="shared" si="9"/>
        <v>Medium</v>
      </c>
      <c r="Y257" s="25">
        <f t="shared" si="10"/>
        <v>45627</v>
      </c>
      <c r="Z257">
        <f t="shared" si="11"/>
        <v>2024</v>
      </c>
    </row>
    <row r="258" spans="1:26" x14ac:dyDescent="0.3">
      <c r="A258" t="s">
        <v>607</v>
      </c>
      <c r="B258" s="4" t="s">
        <v>608</v>
      </c>
      <c r="C258" t="s">
        <v>60</v>
      </c>
      <c r="D258" t="s">
        <v>61</v>
      </c>
      <c r="E258" t="s">
        <v>67</v>
      </c>
      <c r="F258" t="s">
        <v>106</v>
      </c>
      <c r="G258" t="s">
        <v>107</v>
      </c>
      <c r="H258" t="s">
        <v>108</v>
      </c>
      <c r="I258" t="s">
        <v>36</v>
      </c>
      <c r="J258" t="s">
        <v>140</v>
      </c>
      <c r="K258" t="s">
        <v>337</v>
      </c>
      <c r="L258" s="8">
        <v>4</v>
      </c>
      <c r="M258" s="12">
        <v>5500</v>
      </c>
      <c r="N258" s="10">
        <v>0</v>
      </c>
      <c r="O258" s="12">
        <v>22000</v>
      </c>
      <c r="P258" s="12">
        <v>5758.01</v>
      </c>
      <c r="Q258" s="12">
        <v>220.82</v>
      </c>
      <c r="R258" t="s">
        <v>39</v>
      </c>
      <c r="U258" s="12">
        <f>Table2[[#This Row],[Quantity]]*Table2[[#This Row],[Unit_Price]]*(1-Table2[[#This Row],[ Discount]])</f>
        <v>22000</v>
      </c>
      <c r="V258" s="10">
        <f>Table2[[#This Row],[Profit]]/Table2[[#This Row],[Sales_Amount]]</f>
        <v>0.26172772727272731</v>
      </c>
      <c r="W258" t="str">
        <f>IF(Table2[[#This Row],[Sales_Amount]]&gt;10000,"High Value","Normal")</f>
        <v>High Value</v>
      </c>
      <c r="X258" t="str">
        <f t="shared" si="9"/>
        <v>No Discount</v>
      </c>
      <c r="Y258" s="25">
        <f t="shared" si="10"/>
        <v>45627</v>
      </c>
      <c r="Z258">
        <f t="shared" si="11"/>
        <v>2024</v>
      </c>
    </row>
    <row r="259" spans="1:26" x14ac:dyDescent="0.3">
      <c r="A259" t="s">
        <v>609</v>
      </c>
      <c r="B259" s="4" t="s">
        <v>610</v>
      </c>
      <c r="C259" t="s">
        <v>211</v>
      </c>
      <c r="D259" t="s">
        <v>212</v>
      </c>
      <c r="E259" t="s">
        <v>67</v>
      </c>
      <c r="F259" t="s">
        <v>106</v>
      </c>
      <c r="G259" t="s">
        <v>149</v>
      </c>
      <c r="H259" t="s">
        <v>234</v>
      </c>
      <c r="I259" t="s">
        <v>36</v>
      </c>
      <c r="J259" t="s">
        <v>140</v>
      </c>
      <c r="K259" t="s">
        <v>337</v>
      </c>
      <c r="L259" s="8">
        <v>5</v>
      </c>
      <c r="M259" s="12">
        <v>5500</v>
      </c>
      <c r="N259" s="10">
        <v>0.1</v>
      </c>
      <c r="O259" s="12">
        <v>24750</v>
      </c>
      <c r="P259" s="12">
        <v>4934.63</v>
      </c>
      <c r="Q259" s="12">
        <v>51.72</v>
      </c>
      <c r="R259" t="s">
        <v>64</v>
      </c>
      <c r="U259" s="12">
        <f>Table2[[#This Row],[Quantity]]*Table2[[#This Row],[Unit_Price]]*(1-Table2[[#This Row],[ Discount]])</f>
        <v>24750</v>
      </c>
      <c r="V259" s="10">
        <f>Table2[[#This Row],[Profit]]/Table2[[#This Row],[Sales_Amount]]</f>
        <v>0.19937898989898992</v>
      </c>
      <c r="W259" t="str">
        <f>IF(Table2[[#This Row],[Sales_Amount]]&gt;10000,"High Value","Normal")</f>
        <v>High Value</v>
      </c>
      <c r="X259" t="str">
        <f t="shared" ref="X259:X275" si="12">IF(N259=0,"No Discount",IF(N259&lt;=0.05,"Low",IF(N259&lt;=0.1,"Medium","High")))</f>
        <v>Medium</v>
      </c>
      <c r="Y259" s="25">
        <f t="shared" ref="Y259:Y275" si="13">DATE(YEAR(B259),MONTH(B259),1)</f>
        <v>45627</v>
      </c>
      <c r="Z259">
        <f t="shared" ref="Z259:Z275" si="14">YEAR(B259)</f>
        <v>2024</v>
      </c>
    </row>
    <row r="260" spans="1:26" x14ac:dyDescent="0.3">
      <c r="A260" t="s">
        <v>611</v>
      </c>
      <c r="B260" s="4" t="s">
        <v>612</v>
      </c>
      <c r="C260" t="s">
        <v>134</v>
      </c>
      <c r="D260" t="s">
        <v>135</v>
      </c>
      <c r="E260" t="s">
        <v>52</v>
      </c>
      <c r="F260" t="s">
        <v>23</v>
      </c>
      <c r="G260" t="s">
        <v>24</v>
      </c>
      <c r="H260" t="s">
        <v>68</v>
      </c>
      <c r="I260" t="s">
        <v>36</v>
      </c>
      <c r="J260" t="s">
        <v>113</v>
      </c>
      <c r="K260" t="s">
        <v>246</v>
      </c>
      <c r="L260" s="8">
        <v>3</v>
      </c>
      <c r="M260" s="12">
        <v>1200</v>
      </c>
      <c r="N260" s="10">
        <v>0.2</v>
      </c>
      <c r="O260" s="12">
        <v>2880</v>
      </c>
      <c r="P260" s="12">
        <v>764.18</v>
      </c>
      <c r="Q260" s="12">
        <v>409.96</v>
      </c>
      <c r="R260" t="s">
        <v>57</v>
      </c>
      <c r="U260" s="12">
        <f>Table2[[#This Row],[Quantity]]*Table2[[#This Row],[Unit_Price]]*(1-Table2[[#This Row],[ Discount]])</f>
        <v>2880</v>
      </c>
      <c r="V260" s="10">
        <f>Table2[[#This Row],[Profit]]/Table2[[#This Row],[Sales_Amount]]</f>
        <v>0.26534027777777774</v>
      </c>
      <c r="W260" t="str">
        <f>IF(Table2[[#This Row],[Sales_Amount]]&gt;10000,"High Value","Normal")</f>
        <v>Normal</v>
      </c>
      <c r="X260" t="str">
        <f t="shared" si="12"/>
        <v>High</v>
      </c>
      <c r="Y260" s="25">
        <f t="shared" si="13"/>
        <v>45627</v>
      </c>
      <c r="Z260">
        <f t="shared" si="14"/>
        <v>2024</v>
      </c>
    </row>
    <row r="261" spans="1:26" x14ac:dyDescent="0.3">
      <c r="A261" t="s">
        <v>613</v>
      </c>
      <c r="B261" s="4" t="s">
        <v>614</v>
      </c>
      <c r="C261" t="s">
        <v>72</v>
      </c>
      <c r="D261" t="s">
        <v>73</v>
      </c>
      <c r="E261" t="s">
        <v>22</v>
      </c>
      <c r="F261" t="s">
        <v>44</v>
      </c>
      <c r="G261" t="s">
        <v>192</v>
      </c>
      <c r="H261" t="s">
        <v>271</v>
      </c>
      <c r="I261" t="s">
        <v>36</v>
      </c>
      <c r="J261" t="s">
        <v>113</v>
      </c>
      <c r="K261" t="s">
        <v>246</v>
      </c>
      <c r="L261" s="8">
        <v>4</v>
      </c>
      <c r="M261" s="12">
        <v>1200</v>
      </c>
      <c r="N261" s="10">
        <v>0.2</v>
      </c>
      <c r="O261" s="12">
        <v>3840</v>
      </c>
      <c r="P261" s="12">
        <v>845.21</v>
      </c>
      <c r="Q261" s="12">
        <v>499.5</v>
      </c>
      <c r="R261" t="s">
        <v>64</v>
      </c>
      <c r="U261" s="12">
        <f>Table2[[#This Row],[Quantity]]*Table2[[#This Row],[Unit_Price]]*(1-Table2[[#This Row],[ Discount]])</f>
        <v>3840</v>
      </c>
      <c r="V261" s="10">
        <f>Table2[[#This Row],[Profit]]/Table2[[#This Row],[Sales_Amount]]</f>
        <v>0.22010677083333335</v>
      </c>
      <c r="W261" t="str">
        <f>IF(Table2[[#This Row],[Sales_Amount]]&gt;10000,"High Value","Normal")</f>
        <v>Normal</v>
      </c>
      <c r="X261" t="str">
        <f t="shared" si="12"/>
        <v>High</v>
      </c>
      <c r="Y261" s="25">
        <f t="shared" si="13"/>
        <v>45627</v>
      </c>
      <c r="Z261">
        <f t="shared" si="14"/>
        <v>2024</v>
      </c>
    </row>
    <row r="262" spans="1:26" x14ac:dyDescent="0.3">
      <c r="A262" t="s">
        <v>615</v>
      </c>
      <c r="B262" s="4" t="s">
        <v>604</v>
      </c>
      <c r="C262" t="s">
        <v>42</v>
      </c>
      <c r="D262" t="s">
        <v>43</v>
      </c>
      <c r="E262" t="s">
        <v>52</v>
      </c>
      <c r="F262" t="s">
        <v>23</v>
      </c>
      <c r="G262" t="s">
        <v>34</v>
      </c>
      <c r="H262" t="s">
        <v>35</v>
      </c>
      <c r="I262" t="s">
        <v>36</v>
      </c>
      <c r="J262" t="s">
        <v>113</v>
      </c>
      <c r="K262" t="s">
        <v>159</v>
      </c>
      <c r="L262" s="8">
        <v>1</v>
      </c>
      <c r="M262" s="12">
        <v>1500</v>
      </c>
      <c r="N262" s="10">
        <v>0</v>
      </c>
      <c r="O262" s="12">
        <v>1500</v>
      </c>
      <c r="P262" s="12">
        <v>339.67</v>
      </c>
      <c r="Q262" s="12">
        <v>347.38</v>
      </c>
      <c r="R262" t="s">
        <v>57</v>
      </c>
      <c r="U262" s="12">
        <f>Table2[[#This Row],[Quantity]]*Table2[[#This Row],[Unit_Price]]*(1-Table2[[#This Row],[ Discount]])</f>
        <v>1500</v>
      </c>
      <c r="V262" s="10">
        <f>Table2[[#This Row],[Profit]]/Table2[[#This Row],[Sales_Amount]]</f>
        <v>0.22644666666666668</v>
      </c>
      <c r="W262" t="str">
        <f>IF(Table2[[#This Row],[Sales_Amount]]&gt;10000,"High Value","Normal")</f>
        <v>Normal</v>
      </c>
      <c r="X262" t="str">
        <f t="shared" si="12"/>
        <v>No Discount</v>
      </c>
      <c r="Y262" s="25">
        <f t="shared" si="13"/>
        <v>45627</v>
      </c>
      <c r="Z262">
        <f t="shared" si="14"/>
        <v>2024</v>
      </c>
    </row>
    <row r="263" spans="1:26" x14ac:dyDescent="0.3">
      <c r="A263" t="s">
        <v>616</v>
      </c>
      <c r="B263" s="4" t="s">
        <v>617</v>
      </c>
      <c r="C263" t="s">
        <v>127</v>
      </c>
      <c r="D263" t="s">
        <v>128</v>
      </c>
      <c r="E263" t="s">
        <v>22</v>
      </c>
      <c r="F263" t="s">
        <v>23</v>
      </c>
      <c r="G263" t="s">
        <v>24</v>
      </c>
      <c r="H263" t="s">
        <v>351</v>
      </c>
      <c r="I263" t="s">
        <v>47</v>
      </c>
      <c r="J263" t="s">
        <v>48</v>
      </c>
      <c r="K263" t="s">
        <v>97</v>
      </c>
      <c r="L263" s="8">
        <v>3</v>
      </c>
      <c r="M263" s="12">
        <v>1500</v>
      </c>
      <c r="N263" s="10">
        <v>0</v>
      </c>
      <c r="O263" s="12">
        <v>4500</v>
      </c>
      <c r="P263" s="12">
        <v>648.27</v>
      </c>
      <c r="Q263" s="12">
        <v>126.49</v>
      </c>
      <c r="R263" t="s">
        <v>29</v>
      </c>
      <c r="U263" s="12">
        <f>Table2[[#This Row],[Quantity]]*Table2[[#This Row],[Unit_Price]]*(1-Table2[[#This Row],[ Discount]])</f>
        <v>4500</v>
      </c>
      <c r="V263" s="10">
        <f>Table2[[#This Row],[Profit]]/Table2[[#This Row],[Sales_Amount]]</f>
        <v>0.14405999999999999</v>
      </c>
      <c r="W263" t="str">
        <f>IF(Table2[[#This Row],[Sales_Amount]]&gt;10000,"High Value","Normal")</f>
        <v>Normal</v>
      </c>
      <c r="X263" t="str">
        <f t="shared" si="12"/>
        <v>No Discount</v>
      </c>
      <c r="Y263" s="25">
        <f t="shared" si="13"/>
        <v>45627</v>
      </c>
      <c r="Z263">
        <f t="shared" si="14"/>
        <v>2024</v>
      </c>
    </row>
    <row r="264" spans="1:26" x14ac:dyDescent="0.3">
      <c r="A264" t="s">
        <v>618</v>
      </c>
      <c r="B264" s="4" t="s">
        <v>608</v>
      </c>
      <c r="C264" t="s">
        <v>89</v>
      </c>
      <c r="D264" t="s">
        <v>90</v>
      </c>
      <c r="E264" t="s">
        <v>52</v>
      </c>
      <c r="F264" t="s">
        <v>106</v>
      </c>
      <c r="G264" t="s">
        <v>149</v>
      </c>
      <c r="H264" t="s">
        <v>234</v>
      </c>
      <c r="I264" t="s">
        <v>26</v>
      </c>
      <c r="J264" t="s">
        <v>91</v>
      </c>
      <c r="K264" t="s">
        <v>92</v>
      </c>
      <c r="L264" s="8">
        <v>3</v>
      </c>
      <c r="M264" s="12">
        <v>1200</v>
      </c>
      <c r="N264" s="10">
        <v>0</v>
      </c>
      <c r="O264" s="12">
        <v>3600</v>
      </c>
      <c r="P264" s="12">
        <v>650.09</v>
      </c>
      <c r="Q264" s="12">
        <v>199.43</v>
      </c>
      <c r="R264" t="s">
        <v>57</v>
      </c>
      <c r="U264" s="12">
        <f>Table2[[#This Row],[Quantity]]*Table2[[#This Row],[Unit_Price]]*(1-Table2[[#This Row],[ Discount]])</f>
        <v>3600</v>
      </c>
      <c r="V264" s="10">
        <f>Table2[[#This Row],[Profit]]/Table2[[#This Row],[Sales_Amount]]</f>
        <v>0.18058055555555558</v>
      </c>
      <c r="W264" t="str">
        <f>IF(Table2[[#This Row],[Sales_Amount]]&gt;10000,"High Value","Normal")</f>
        <v>Normal</v>
      </c>
      <c r="X264" t="str">
        <f t="shared" si="12"/>
        <v>No Discount</v>
      </c>
      <c r="Y264" s="25">
        <f t="shared" si="13"/>
        <v>45627</v>
      </c>
      <c r="Z264">
        <f t="shared" si="14"/>
        <v>2024</v>
      </c>
    </row>
    <row r="265" spans="1:26" x14ac:dyDescent="0.3">
      <c r="A265" t="s">
        <v>619</v>
      </c>
      <c r="B265" s="4" t="s">
        <v>620</v>
      </c>
      <c r="C265" t="s">
        <v>122</v>
      </c>
      <c r="D265" t="s">
        <v>123</v>
      </c>
      <c r="E265" t="s">
        <v>67</v>
      </c>
      <c r="F265" t="s">
        <v>106</v>
      </c>
      <c r="G265" t="s">
        <v>306</v>
      </c>
      <c r="H265" t="s">
        <v>366</v>
      </c>
      <c r="I265" t="s">
        <v>26</v>
      </c>
      <c r="J265" t="s">
        <v>91</v>
      </c>
      <c r="K265" t="s">
        <v>92</v>
      </c>
      <c r="L265" s="8">
        <v>1</v>
      </c>
      <c r="M265" s="12">
        <v>1200</v>
      </c>
      <c r="N265" s="10">
        <v>0.2</v>
      </c>
      <c r="O265" s="12">
        <v>960</v>
      </c>
      <c r="P265" s="12">
        <v>250.1</v>
      </c>
      <c r="Q265" s="12">
        <v>336.95</v>
      </c>
      <c r="R265" t="s">
        <v>57</v>
      </c>
      <c r="U265" s="12">
        <f>Table2[[#This Row],[Quantity]]*Table2[[#This Row],[Unit_Price]]*(1-Table2[[#This Row],[ Discount]])</f>
        <v>960</v>
      </c>
      <c r="V265" s="10">
        <f>Table2[[#This Row],[Profit]]/Table2[[#This Row],[Sales_Amount]]</f>
        <v>0.26052083333333331</v>
      </c>
      <c r="W265" t="str">
        <f>IF(Table2[[#This Row],[Sales_Amount]]&gt;10000,"High Value","Normal")</f>
        <v>Normal</v>
      </c>
      <c r="X265" t="str">
        <f t="shared" si="12"/>
        <v>High</v>
      </c>
      <c r="Y265" s="25">
        <f t="shared" si="13"/>
        <v>45627</v>
      </c>
      <c r="Z265">
        <f t="shared" si="14"/>
        <v>2024</v>
      </c>
    </row>
    <row r="266" spans="1:26" x14ac:dyDescent="0.3">
      <c r="A266" t="s">
        <v>621</v>
      </c>
      <c r="B266" s="4" t="s">
        <v>622</v>
      </c>
      <c r="C266" t="s">
        <v>117</v>
      </c>
      <c r="D266" t="s">
        <v>118</v>
      </c>
      <c r="E266" t="s">
        <v>67</v>
      </c>
      <c r="F266" t="s">
        <v>53</v>
      </c>
      <c r="G266" t="s">
        <v>83</v>
      </c>
      <c r="H266" t="s">
        <v>129</v>
      </c>
      <c r="I266" t="s">
        <v>36</v>
      </c>
      <c r="J266" t="s">
        <v>140</v>
      </c>
      <c r="K266" t="s">
        <v>287</v>
      </c>
      <c r="L266" s="8">
        <v>2</v>
      </c>
      <c r="M266" s="12">
        <v>4000</v>
      </c>
      <c r="N266" s="10">
        <v>0.1</v>
      </c>
      <c r="O266" s="12">
        <v>7200</v>
      </c>
      <c r="P266" s="12">
        <v>1044.5</v>
      </c>
      <c r="Q266" s="12">
        <v>238.34</v>
      </c>
      <c r="R266" t="s">
        <v>39</v>
      </c>
      <c r="U266" s="12">
        <f>Table2[[#This Row],[Quantity]]*Table2[[#This Row],[Unit_Price]]*(1-Table2[[#This Row],[ Discount]])</f>
        <v>7200</v>
      </c>
      <c r="V266" s="10">
        <f>Table2[[#This Row],[Profit]]/Table2[[#This Row],[Sales_Amount]]</f>
        <v>0.14506944444444445</v>
      </c>
      <c r="W266" t="str">
        <f>IF(Table2[[#This Row],[Sales_Amount]]&gt;10000,"High Value","Normal")</f>
        <v>Normal</v>
      </c>
      <c r="X266" t="str">
        <f t="shared" si="12"/>
        <v>Medium</v>
      </c>
      <c r="Y266" s="25">
        <f t="shared" si="13"/>
        <v>45627</v>
      </c>
      <c r="Z266">
        <f t="shared" si="14"/>
        <v>2024</v>
      </c>
    </row>
    <row r="267" spans="1:26" x14ac:dyDescent="0.3">
      <c r="A267" t="s">
        <v>623</v>
      </c>
      <c r="B267" s="4" t="s">
        <v>624</v>
      </c>
      <c r="C267" t="s">
        <v>211</v>
      </c>
      <c r="D267" t="s">
        <v>212</v>
      </c>
      <c r="E267" t="s">
        <v>52</v>
      </c>
      <c r="F267" t="s">
        <v>53</v>
      </c>
      <c r="G267" t="s">
        <v>83</v>
      </c>
      <c r="H267" t="s">
        <v>84</v>
      </c>
      <c r="I267" t="s">
        <v>26</v>
      </c>
      <c r="J267" t="s">
        <v>91</v>
      </c>
      <c r="K267" t="s">
        <v>199</v>
      </c>
      <c r="L267" s="8">
        <v>4</v>
      </c>
      <c r="M267" s="12">
        <v>3500</v>
      </c>
      <c r="N267" s="10">
        <v>0.1</v>
      </c>
      <c r="O267" s="12">
        <v>12600</v>
      </c>
      <c r="P267" s="12">
        <v>2227.46</v>
      </c>
      <c r="Q267" s="12">
        <v>412.63</v>
      </c>
      <c r="R267" t="s">
        <v>57</v>
      </c>
      <c r="U267" s="12">
        <f>Table2[[#This Row],[Quantity]]*Table2[[#This Row],[Unit_Price]]*(1-Table2[[#This Row],[ Discount]])</f>
        <v>12600</v>
      </c>
      <c r="V267" s="10">
        <f>Table2[[#This Row],[Profit]]/Table2[[#This Row],[Sales_Amount]]</f>
        <v>0.17678253968253968</v>
      </c>
      <c r="W267" t="str">
        <f>IF(Table2[[#This Row],[Sales_Amount]]&gt;10000,"High Value","Normal")</f>
        <v>High Value</v>
      </c>
      <c r="X267" t="str">
        <f t="shared" si="12"/>
        <v>Medium</v>
      </c>
      <c r="Y267" s="25">
        <f t="shared" si="13"/>
        <v>45627</v>
      </c>
      <c r="Z267">
        <f t="shared" si="14"/>
        <v>2024</v>
      </c>
    </row>
    <row r="268" spans="1:26" x14ac:dyDescent="0.3">
      <c r="A268" t="s">
        <v>625</v>
      </c>
      <c r="B268" s="4" t="s">
        <v>626</v>
      </c>
      <c r="C268" t="s">
        <v>211</v>
      </c>
      <c r="D268" t="s">
        <v>212</v>
      </c>
      <c r="E268" t="s">
        <v>52</v>
      </c>
      <c r="F268" t="s">
        <v>53</v>
      </c>
      <c r="G268" t="s">
        <v>83</v>
      </c>
      <c r="H268" t="s">
        <v>251</v>
      </c>
      <c r="I268" t="s">
        <v>26</v>
      </c>
      <c r="J268" t="s">
        <v>27</v>
      </c>
      <c r="K268" t="s">
        <v>358</v>
      </c>
      <c r="L268" s="8">
        <v>2</v>
      </c>
      <c r="M268" s="12">
        <v>22000</v>
      </c>
      <c r="N268" s="10">
        <v>0</v>
      </c>
      <c r="O268" s="12">
        <v>44000</v>
      </c>
      <c r="P268" s="12">
        <v>5940.37</v>
      </c>
      <c r="Q268" s="12">
        <v>168</v>
      </c>
      <c r="R268" t="s">
        <v>57</v>
      </c>
      <c r="U268" s="12">
        <f>Table2[[#This Row],[Quantity]]*Table2[[#This Row],[Unit_Price]]*(1-Table2[[#This Row],[ Discount]])</f>
        <v>44000</v>
      </c>
      <c r="V268" s="10">
        <f>Table2[[#This Row],[Profit]]/Table2[[#This Row],[Sales_Amount]]</f>
        <v>0.13500840909090908</v>
      </c>
      <c r="W268" t="str">
        <f>IF(Table2[[#This Row],[Sales_Amount]]&gt;10000,"High Value","Normal")</f>
        <v>High Value</v>
      </c>
      <c r="X268" t="str">
        <f t="shared" si="12"/>
        <v>No Discount</v>
      </c>
      <c r="Y268" s="25">
        <f t="shared" si="13"/>
        <v>45627</v>
      </c>
      <c r="Z268">
        <f t="shared" si="14"/>
        <v>2024</v>
      </c>
    </row>
    <row r="269" spans="1:26" x14ac:dyDescent="0.3">
      <c r="A269" t="s">
        <v>627</v>
      </c>
      <c r="B269" s="4" t="s">
        <v>628</v>
      </c>
      <c r="C269" t="s">
        <v>206</v>
      </c>
      <c r="D269" t="s">
        <v>207</v>
      </c>
      <c r="E269" t="s">
        <v>52</v>
      </c>
      <c r="F269" t="s">
        <v>53</v>
      </c>
      <c r="G269" t="s">
        <v>83</v>
      </c>
      <c r="H269" t="s">
        <v>251</v>
      </c>
      <c r="I269" t="s">
        <v>47</v>
      </c>
      <c r="J269" t="s">
        <v>119</v>
      </c>
      <c r="K269" t="s">
        <v>310</v>
      </c>
      <c r="L269" s="8">
        <v>5</v>
      </c>
      <c r="M269" s="12">
        <v>1500</v>
      </c>
      <c r="N269" s="10">
        <v>0</v>
      </c>
      <c r="O269" s="12">
        <v>7500</v>
      </c>
      <c r="P269" s="12">
        <v>1900.05</v>
      </c>
      <c r="Q269" s="12">
        <v>456.49</v>
      </c>
      <c r="R269" t="s">
        <v>29</v>
      </c>
      <c r="U269" s="12">
        <f>Table2[[#This Row],[Quantity]]*Table2[[#This Row],[Unit_Price]]*(1-Table2[[#This Row],[ Discount]])</f>
        <v>7500</v>
      </c>
      <c r="V269" s="10">
        <f>Table2[[#This Row],[Profit]]/Table2[[#This Row],[Sales_Amount]]</f>
        <v>0.25334000000000001</v>
      </c>
      <c r="W269" t="str">
        <f>IF(Table2[[#This Row],[Sales_Amount]]&gt;10000,"High Value","Normal")</f>
        <v>Normal</v>
      </c>
      <c r="X269" t="str">
        <f t="shared" si="12"/>
        <v>No Discount</v>
      </c>
      <c r="Y269" s="25">
        <f t="shared" si="13"/>
        <v>45627</v>
      </c>
      <c r="Z269">
        <f t="shared" si="14"/>
        <v>2024</v>
      </c>
    </row>
    <row r="270" spans="1:26" x14ac:dyDescent="0.3">
      <c r="A270" t="s">
        <v>629</v>
      </c>
      <c r="B270" s="4" t="s">
        <v>612</v>
      </c>
      <c r="C270" t="s">
        <v>127</v>
      </c>
      <c r="D270" t="s">
        <v>128</v>
      </c>
      <c r="E270" t="s">
        <v>52</v>
      </c>
      <c r="F270" t="s">
        <v>44</v>
      </c>
      <c r="G270" t="s">
        <v>192</v>
      </c>
      <c r="H270" t="s">
        <v>271</v>
      </c>
      <c r="I270" t="s">
        <v>47</v>
      </c>
      <c r="J270" t="s">
        <v>119</v>
      </c>
      <c r="K270" t="s">
        <v>310</v>
      </c>
      <c r="L270" s="8">
        <v>1</v>
      </c>
      <c r="M270" s="12">
        <v>1500</v>
      </c>
      <c r="N270" s="10">
        <v>0</v>
      </c>
      <c r="O270" s="12">
        <v>1500</v>
      </c>
      <c r="P270" s="12">
        <v>307.62</v>
      </c>
      <c r="Q270" s="12">
        <v>148.57</v>
      </c>
      <c r="R270" t="s">
        <v>64</v>
      </c>
      <c r="U270" s="12">
        <f>Table2[[#This Row],[Quantity]]*Table2[[#This Row],[Unit_Price]]*(1-Table2[[#This Row],[ Discount]])</f>
        <v>1500</v>
      </c>
      <c r="V270" s="10">
        <f>Table2[[#This Row],[Profit]]/Table2[[#This Row],[Sales_Amount]]</f>
        <v>0.20508000000000001</v>
      </c>
      <c r="W270" t="str">
        <f>IF(Table2[[#This Row],[Sales_Amount]]&gt;10000,"High Value","Normal")</f>
        <v>Normal</v>
      </c>
      <c r="X270" t="str">
        <f t="shared" si="12"/>
        <v>No Discount</v>
      </c>
      <c r="Y270" s="25">
        <f t="shared" si="13"/>
        <v>45627</v>
      </c>
      <c r="Z270">
        <f t="shared" si="14"/>
        <v>2024</v>
      </c>
    </row>
    <row r="271" spans="1:26" x14ac:dyDescent="0.3">
      <c r="A271" t="s">
        <v>630</v>
      </c>
      <c r="B271" s="4" t="s">
        <v>631</v>
      </c>
      <c r="C271" t="s">
        <v>20</v>
      </c>
      <c r="D271" t="s">
        <v>21</v>
      </c>
      <c r="E271" t="s">
        <v>22</v>
      </c>
      <c r="F271" t="s">
        <v>53</v>
      </c>
      <c r="G271" t="s">
        <v>54</v>
      </c>
      <c r="H271" t="s">
        <v>55</v>
      </c>
      <c r="I271" t="s">
        <v>26</v>
      </c>
      <c r="J271" t="s">
        <v>69</v>
      </c>
      <c r="K271" t="s">
        <v>131</v>
      </c>
      <c r="L271" s="8">
        <v>3</v>
      </c>
      <c r="M271" s="12">
        <v>115000</v>
      </c>
      <c r="N271" s="10">
        <v>0</v>
      </c>
      <c r="O271" s="12">
        <v>345000</v>
      </c>
      <c r="P271" s="12">
        <v>54591</v>
      </c>
      <c r="Q271" s="12">
        <v>376.34</v>
      </c>
      <c r="R271" t="s">
        <v>57</v>
      </c>
      <c r="U271" s="12">
        <f>Table2[[#This Row],[Quantity]]*Table2[[#This Row],[Unit_Price]]*(1-Table2[[#This Row],[ Discount]])</f>
        <v>345000</v>
      </c>
      <c r="V271" s="10">
        <f>Table2[[#This Row],[Profit]]/Table2[[#This Row],[Sales_Amount]]</f>
        <v>0.15823478260869564</v>
      </c>
      <c r="W271" t="str">
        <f>IF(Table2[[#This Row],[Sales_Amount]]&gt;10000,"High Value","Normal")</f>
        <v>High Value</v>
      </c>
      <c r="X271" t="str">
        <f t="shared" si="12"/>
        <v>No Discount</v>
      </c>
      <c r="Y271" s="25">
        <f t="shared" si="13"/>
        <v>45627</v>
      </c>
      <c r="Z271">
        <f t="shared" si="14"/>
        <v>2024</v>
      </c>
    </row>
    <row r="272" spans="1:26" x14ac:dyDescent="0.3">
      <c r="A272" t="s">
        <v>632</v>
      </c>
      <c r="B272" s="4" t="s">
        <v>602</v>
      </c>
      <c r="C272" t="s">
        <v>104</v>
      </c>
      <c r="D272" t="s">
        <v>105</v>
      </c>
      <c r="E272" t="s">
        <v>67</v>
      </c>
      <c r="F272" t="s">
        <v>44</v>
      </c>
      <c r="G272" t="s">
        <v>192</v>
      </c>
      <c r="H272" t="s">
        <v>271</v>
      </c>
      <c r="I272" t="s">
        <v>36</v>
      </c>
      <c r="J272" t="s">
        <v>37</v>
      </c>
      <c r="K272" t="s">
        <v>371</v>
      </c>
      <c r="L272" s="8">
        <v>4</v>
      </c>
      <c r="M272" s="12">
        <v>4500</v>
      </c>
      <c r="N272" s="10">
        <v>0</v>
      </c>
      <c r="O272" s="12">
        <v>18000</v>
      </c>
      <c r="P272" s="12">
        <v>2317.84</v>
      </c>
      <c r="Q272" s="12">
        <v>135.18</v>
      </c>
      <c r="R272" t="s">
        <v>39</v>
      </c>
      <c r="U272" s="12">
        <f>Table2[[#This Row],[Quantity]]*Table2[[#This Row],[Unit_Price]]*(1-Table2[[#This Row],[ Discount]])</f>
        <v>18000</v>
      </c>
      <c r="V272" s="10">
        <f>Table2[[#This Row],[Profit]]/Table2[[#This Row],[Sales_Amount]]</f>
        <v>0.1287688888888889</v>
      </c>
      <c r="W272" t="str">
        <f>IF(Table2[[#This Row],[Sales_Amount]]&gt;10000,"High Value","Normal")</f>
        <v>High Value</v>
      </c>
      <c r="X272" t="str">
        <f t="shared" si="12"/>
        <v>No Discount</v>
      </c>
      <c r="Y272" s="25">
        <f t="shared" si="13"/>
        <v>45627</v>
      </c>
      <c r="Z272">
        <f t="shared" si="14"/>
        <v>2024</v>
      </c>
    </row>
    <row r="273" spans="1:26" x14ac:dyDescent="0.3">
      <c r="A273" t="s">
        <v>633</v>
      </c>
      <c r="B273" s="4" t="s">
        <v>620</v>
      </c>
      <c r="C273" t="s">
        <v>60</v>
      </c>
      <c r="D273" t="s">
        <v>61</v>
      </c>
      <c r="E273" t="s">
        <v>52</v>
      </c>
      <c r="F273" t="s">
        <v>44</v>
      </c>
      <c r="G273" t="s">
        <v>192</v>
      </c>
      <c r="H273" t="s">
        <v>271</v>
      </c>
      <c r="I273" t="s">
        <v>36</v>
      </c>
      <c r="J273" t="s">
        <v>37</v>
      </c>
      <c r="K273" t="s">
        <v>38</v>
      </c>
      <c r="L273" s="8">
        <v>4</v>
      </c>
      <c r="M273" s="12">
        <v>6000</v>
      </c>
      <c r="N273" s="10">
        <v>0.2</v>
      </c>
      <c r="O273" s="12">
        <v>19200</v>
      </c>
      <c r="P273" s="12">
        <v>4298.45</v>
      </c>
      <c r="Q273" s="12">
        <v>465.49</v>
      </c>
      <c r="R273" t="s">
        <v>64</v>
      </c>
      <c r="U273" s="12">
        <f>Table2[[#This Row],[Quantity]]*Table2[[#This Row],[Unit_Price]]*(1-Table2[[#This Row],[ Discount]])</f>
        <v>19200</v>
      </c>
      <c r="V273" s="10">
        <f>Table2[[#This Row],[Profit]]/Table2[[#This Row],[Sales_Amount]]</f>
        <v>0.22387760416666666</v>
      </c>
      <c r="W273" t="str">
        <f>IF(Table2[[#This Row],[Sales_Amount]]&gt;10000,"High Value","Normal")</f>
        <v>High Value</v>
      </c>
      <c r="X273" t="str">
        <f t="shared" si="12"/>
        <v>High</v>
      </c>
      <c r="Y273" s="25">
        <f t="shared" si="13"/>
        <v>45627</v>
      </c>
      <c r="Z273">
        <f t="shared" si="14"/>
        <v>2024</v>
      </c>
    </row>
    <row r="274" spans="1:26" x14ac:dyDescent="0.3">
      <c r="A274" t="s">
        <v>634</v>
      </c>
      <c r="B274" s="4" t="s">
        <v>602</v>
      </c>
      <c r="C274" t="s">
        <v>104</v>
      </c>
      <c r="D274" t="s">
        <v>105</v>
      </c>
      <c r="E274" t="s">
        <v>52</v>
      </c>
      <c r="F274" t="s">
        <v>106</v>
      </c>
      <c r="G274" t="s">
        <v>306</v>
      </c>
      <c r="H274" t="s">
        <v>307</v>
      </c>
      <c r="I274" t="s">
        <v>47</v>
      </c>
      <c r="J274" t="s">
        <v>85</v>
      </c>
      <c r="K274" t="s">
        <v>274</v>
      </c>
      <c r="L274" s="8">
        <v>1</v>
      </c>
      <c r="M274" s="12">
        <v>2400</v>
      </c>
      <c r="N274" s="10">
        <v>0</v>
      </c>
      <c r="O274" s="12">
        <v>2400</v>
      </c>
      <c r="P274" s="12">
        <v>615.9</v>
      </c>
      <c r="Q274" s="12">
        <v>371.11</v>
      </c>
      <c r="R274" t="s">
        <v>57</v>
      </c>
      <c r="U274" s="12">
        <f>Table2[[#This Row],[Quantity]]*Table2[[#This Row],[Unit_Price]]*(1-Table2[[#This Row],[ Discount]])</f>
        <v>2400</v>
      </c>
      <c r="V274" s="10">
        <f>Table2[[#This Row],[Profit]]/Table2[[#This Row],[Sales_Amount]]</f>
        <v>0.25662499999999999</v>
      </c>
      <c r="W274" t="str">
        <f>IF(Table2[[#This Row],[Sales_Amount]]&gt;10000,"High Value","Normal")</f>
        <v>Normal</v>
      </c>
      <c r="X274" t="str">
        <f t="shared" si="12"/>
        <v>No Discount</v>
      </c>
      <c r="Y274" s="25">
        <f t="shared" si="13"/>
        <v>45627</v>
      </c>
      <c r="Z274">
        <f t="shared" si="14"/>
        <v>2024</v>
      </c>
    </row>
    <row r="275" spans="1:26" x14ac:dyDescent="0.3">
      <c r="A275" t="s">
        <v>635</v>
      </c>
      <c r="B275" s="4" t="s">
        <v>636</v>
      </c>
      <c r="C275" t="s">
        <v>166</v>
      </c>
      <c r="D275" t="s">
        <v>167</v>
      </c>
      <c r="E275" t="s">
        <v>67</v>
      </c>
      <c r="F275" t="s">
        <v>106</v>
      </c>
      <c r="G275" t="s">
        <v>107</v>
      </c>
      <c r="H275" t="s">
        <v>108</v>
      </c>
      <c r="I275" t="s">
        <v>36</v>
      </c>
      <c r="J275" t="s">
        <v>37</v>
      </c>
      <c r="K275" t="s">
        <v>280</v>
      </c>
      <c r="L275" s="8">
        <v>3</v>
      </c>
      <c r="M275" s="12">
        <v>25000</v>
      </c>
      <c r="N275" s="10">
        <v>0</v>
      </c>
      <c r="O275" s="12">
        <v>75000</v>
      </c>
      <c r="P275" s="12">
        <v>13041.3</v>
      </c>
      <c r="Q275" s="12">
        <v>69.95</v>
      </c>
      <c r="R275" t="s">
        <v>29</v>
      </c>
      <c r="U275" s="12">
        <f>Table2[[#This Row],[Quantity]]*Table2[[#This Row],[Unit_Price]]*(1-Table2[[#This Row],[ Discount]])</f>
        <v>75000</v>
      </c>
      <c r="V275" s="10">
        <f>Table2[[#This Row],[Profit]]/Table2[[#This Row],[Sales_Amount]]</f>
        <v>0.17388399999999998</v>
      </c>
      <c r="W275" t="str">
        <f>IF(Table2[[#This Row],[Sales_Amount]]&gt;10000,"High Value","Normal")</f>
        <v>High Value</v>
      </c>
      <c r="X275" t="str">
        <f t="shared" si="12"/>
        <v>No Discount</v>
      </c>
      <c r="Y275" s="25">
        <f t="shared" si="13"/>
        <v>45627</v>
      </c>
      <c r="Z275">
        <f t="shared" si="14"/>
        <v>2024</v>
      </c>
    </row>
  </sheetData>
  <autoFilter ref="U1:Z275" xr:uid="{0B3F4CDA-257F-41E3-834E-0A6645EA457F}"/>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CB985-936F-4050-92B0-F611EEDB86FD}">
  <dimension ref="A1:C12"/>
  <sheetViews>
    <sheetView topLeftCell="A5" workbookViewId="0">
      <selection activeCell="D31" sqref="D31"/>
    </sheetView>
  </sheetViews>
  <sheetFormatPr defaultRowHeight="14.4" x14ac:dyDescent="0.3"/>
  <cols>
    <col min="1" max="1" width="14.21875" bestFit="1" customWidth="1"/>
    <col min="2" max="2" width="19.77734375" bestFit="1" customWidth="1"/>
    <col min="3" max="3" width="12.109375" bestFit="1" customWidth="1"/>
    <col min="4" max="4" width="13.21875" bestFit="1" customWidth="1"/>
  </cols>
  <sheetData>
    <row r="1" spans="1:3" x14ac:dyDescent="0.3">
      <c r="A1" s="18" t="s">
        <v>666</v>
      </c>
      <c r="B1" t="s">
        <v>668</v>
      </c>
      <c r="C1" t="s">
        <v>669</v>
      </c>
    </row>
    <row r="2" spans="1:3" x14ac:dyDescent="0.3">
      <c r="A2" s="19" t="s">
        <v>26</v>
      </c>
      <c r="B2">
        <v>1440300</v>
      </c>
      <c r="C2">
        <v>285990.78999999998</v>
      </c>
    </row>
    <row r="3" spans="1:3" x14ac:dyDescent="0.3">
      <c r="A3" s="19" t="s">
        <v>36</v>
      </c>
      <c r="B3">
        <v>371560</v>
      </c>
      <c r="C3">
        <v>63414.8</v>
      </c>
    </row>
    <row r="4" spans="1:3" x14ac:dyDescent="0.3">
      <c r="A4" s="19" t="s">
        <v>47</v>
      </c>
      <c r="B4">
        <v>99435</v>
      </c>
      <c r="C4">
        <v>16330.65</v>
      </c>
    </row>
    <row r="5" spans="1:3" x14ac:dyDescent="0.3">
      <c r="A5" s="19" t="s">
        <v>667</v>
      </c>
      <c r="B5" s="12">
        <v>1911295</v>
      </c>
      <c r="C5" s="12">
        <v>365736.24</v>
      </c>
    </row>
    <row r="10" spans="1:3" x14ac:dyDescent="0.3">
      <c r="B10" t="s">
        <v>670</v>
      </c>
      <c r="C10" s="7" t="s">
        <v>26</v>
      </c>
    </row>
    <row r="12" spans="1:3" x14ac:dyDescent="0.3">
      <c r="B12" t="s">
        <v>671</v>
      </c>
      <c r="C12" s="7" t="s">
        <v>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BDCFF-B181-4E7F-9B20-A573CFD5F993}">
  <dimension ref="A1:E16"/>
  <sheetViews>
    <sheetView topLeftCell="A2" workbookViewId="0">
      <selection activeCell="C22" sqref="C22"/>
    </sheetView>
  </sheetViews>
  <sheetFormatPr defaultRowHeight="14.4" x14ac:dyDescent="0.3"/>
  <cols>
    <col min="1" max="1" width="19.77734375" bestFit="1" customWidth="1"/>
    <col min="2" max="2" width="15.5546875" bestFit="1" customWidth="1"/>
    <col min="3" max="4" width="13.21875" bestFit="1" customWidth="1"/>
    <col min="5" max="5" width="14.77734375" bestFit="1" customWidth="1"/>
  </cols>
  <sheetData>
    <row r="1" spans="1:5" x14ac:dyDescent="0.3">
      <c r="A1" s="18" t="s">
        <v>668</v>
      </c>
      <c r="B1" s="18" t="s">
        <v>672</v>
      </c>
    </row>
    <row r="2" spans="1:5" x14ac:dyDescent="0.3">
      <c r="A2" s="18" t="s">
        <v>666</v>
      </c>
      <c r="B2" t="s">
        <v>52</v>
      </c>
      <c r="C2" t="s">
        <v>67</v>
      </c>
      <c r="D2" t="s">
        <v>22</v>
      </c>
      <c r="E2" t="s">
        <v>667</v>
      </c>
    </row>
    <row r="3" spans="1:5" x14ac:dyDescent="0.3">
      <c r="A3" s="19" t="s">
        <v>53</v>
      </c>
      <c r="B3" s="12">
        <v>1263690</v>
      </c>
      <c r="C3" s="12">
        <v>1345825</v>
      </c>
      <c r="D3" s="12">
        <v>1346415</v>
      </c>
      <c r="E3" s="12">
        <v>3955930</v>
      </c>
    </row>
    <row r="4" spans="1:5" x14ac:dyDescent="0.3">
      <c r="A4" s="19" t="s">
        <v>23</v>
      </c>
      <c r="B4" s="12">
        <v>872895</v>
      </c>
      <c r="C4" s="12">
        <v>744825</v>
      </c>
      <c r="D4" s="12">
        <v>1964175</v>
      </c>
      <c r="E4" s="12">
        <v>3581895</v>
      </c>
    </row>
    <row r="5" spans="1:5" x14ac:dyDescent="0.3">
      <c r="A5" s="19" t="s">
        <v>44</v>
      </c>
      <c r="B5" s="12">
        <v>816420</v>
      </c>
      <c r="C5" s="12">
        <v>1123515</v>
      </c>
      <c r="D5" s="12">
        <v>716985</v>
      </c>
      <c r="E5" s="12">
        <v>2656920</v>
      </c>
    </row>
    <row r="6" spans="1:5" x14ac:dyDescent="0.3">
      <c r="A6" s="19" t="s">
        <v>106</v>
      </c>
      <c r="B6" s="12">
        <v>974235</v>
      </c>
      <c r="C6" s="12">
        <v>625165</v>
      </c>
      <c r="D6" s="12">
        <v>311895</v>
      </c>
      <c r="E6" s="12">
        <v>1911295</v>
      </c>
    </row>
    <row r="7" spans="1:5" x14ac:dyDescent="0.3">
      <c r="A7" s="19" t="s">
        <v>667</v>
      </c>
      <c r="B7" s="12">
        <v>3927240</v>
      </c>
      <c r="C7" s="12">
        <v>3839330</v>
      </c>
      <c r="D7" s="12">
        <v>4339470</v>
      </c>
      <c r="E7" s="12">
        <v>12106040</v>
      </c>
    </row>
    <row r="11" spans="1:5" x14ac:dyDescent="0.3">
      <c r="A11" s="5" t="s">
        <v>673</v>
      </c>
      <c r="B11" s="5" t="s">
        <v>674</v>
      </c>
    </row>
    <row r="12" spans="1:5" x14ac:dyDescent="0.3">
      <c r="A12" s="6" t="s">
        <v>675</v>
      </c>
      <c r="B12" s="20" t="s">
        <v>53</v>
      </c>
    </row>
    <row r="13" spans="1:5" x14ac:dyDescent="0.3">
      <c r="A13" s="6" t="s">
        <v>676</v>
      </c>
      <c r="B13" s="20" t="s">
        <v>106</v>
      </c>
    </row>
    <row r="14" spans="1:5" ht="28.8" x14ac:dyDescent="0.3">
      <c r="A14" s="6" t="s">
        <v>677</v>
      </c>
      <c r="B14" s="20" t="s">
        <v>22</v>
      </c>
    </row>
    <row r="15" spans="1:5" ht="28.8" x14ac:dyDescent="0.3">
      <c r="A15" s="6" t="s">
        <v>678</v>
      </c>
      <c r="B15" s="20" t="s">
        <v>67</v>
      </c>
    </row>
    <row r="16" spans="1:5" x14ac:dyDescent="0.3">
      <c r="B16" s="7"/>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28C37-0B10-49B5-92B0-4E2FA2594D46}">
  <dimension ref="A1:B184"/>
  <sheetViews>
    <sheetView topLeftCell="A4" workbookViewId="0">
      <selection activeCell="B23" sqref="B23"/>
    </sheetView>
  </sheetViews>
  <sheetFormatPr defaultRowHeight="14.4" x14ac:dyDescent="0.3"/>
  <cols>
    <col min="1" max="1" width="12.5546875" style="23" bestFit="1" customWidth="1"/>
    <col min="2" max="2" width="19.77734375" bestFit="1" customWidth="1"/>
  </cols>
  <sheetData>
    <row r="1" spans="1:2" x14ac:dyDescent="0.3">
      <c r="A1" s="18" t="s">
        <v>666</v>
      </c>
      <c r="B1" t="s">
        <v>668</v>
      </c>
    </row>
    <row r="2" spans="1:2" x14ac:dyDescent="0.3">
      <c r="A2" s="19" t="s">
        <v>679</v>
      </c>
      <c r="B2" s="12">
        <v>1140195</v>
      </c>
    </row>
    <row r="3" spans="1:2" x14ac:dyDescent="0.3">
      <c r="A3" s="19" t="s">
        <v>680</v>
      </c>
      <c r="B3" s="12">
        <v>1517950</v>
      </c>
    </row>
    <row r="4" spans="1:2" x14ac:dyDescent="0.3">
      <c r="A4" s="19" t="s">
        <v>681</v>
      </c>
      <c r="B4" s="12">
        <v>621170</v>
      </c>
    </row>
    <row r="5" spans="1:2" x14ac:dyDescent="0.3">
      <c r="A5" s="19" t="s">
        <v>682</v>
      </c>
      <c r="B5" s="12">
        <v>741880</v>
      </c>
    </row>
    <row r="6" spans="1:2" x14ac:dyDescent="0.3">
      <c r="A6" s="19" t="s">
        <v>683</v>
      </c>
      <c r="B6" s="12">
        <v>1697075</v>
      </c>
    </row>
    <row r="7" spans="1:2" x14ac:dyDescent="0.3">
      <c r="A7" s="19" t="s">
        <v>684</v>
      </c>
      <c r="B7" s="12">
        <v>1310840</v>
      </c>
    </row>
    <row r="8" spans="1:2" x14ac:dyDescent="0.3">
      <c r="A8" s="19" t="s">
        <v>685</v>
      </c>
      <c r="B8" s="12">
        <v>1626955</v>
      </c>
    </row>
    <row r="9" spans="1:2" x14ac:dyDescent="0.3">
      <c r="A9" s="19" t="s">
        <v>686</v>
      </c>
      <c r="B9" s="12">
        <v>551250</v>
      </c>
    </row>
    <row r="10" spans="1:2" x14ac:dyDescent="0.3">
      <c r="A10" s="19" t="s">
        <v>687</v>
      </c>
      <c r="B10" s="12">
        <v>1141280</v>
      </c>
    </row>
    <row r="11" spans="1:2" x14ac:dyDescent="0.3">
      <c r="A11" s="19" t="s">
        <v>688</v>
      </c>
      <c r="B11" s="12">
        <v>475545</v>
      </c>
    </row>
    <row r="12" spans="1:2" x14ac:dyDescent="0.3">
      <c r="A12" s="19" t="s">
        <v>689</v>
      </c>
      <c r="B12" s="12">
        <v>666925</v>
      </c>
    </row>
    <row r="13" spans="1:2" x14ac:dyDescent="0.3">
      <c r="A13" s="19" t="s">
        <v>690</v>
      </c>
      <c r="B13" s="12">
        <v>614975</v>
      </c>
    </row>
    <row r="14" spans="1:2" x14ac:dyDescent="0.3">
      <c r="A14" s="26" t="s">
        <v>667</v>
      </c>
      <c r="B14" s="12">
        <v>12106040</v>
      </c>
    </row>
    <row r="15" spans="1:2" x14ac:dyDescent="0.3">
      <c r="A15"/>
    </row>
    <row r="16" spans="1:2" x14ac:dyDescent="0.3">
      <c r="A16"/>
    </row>
    <row r="17" spans="1:1" x14ac:dyDescent="0.3">
      <c r="A17"/>
    </row>
    <row r="18" spans="1:1" x14ac:dyDescent="0.3">
      <c r="A18"/>
    </row>
    <row r="19" spans="1:1" x14ac:dyDescent="0.3">
      <c r="A19"/>
    </row>
    <row r="20" spans="1:1" x14ac:dyDescent="0.3">
      <c r="A20"/>
    </row>
    <row r="21" spans="1:1" x14ac:dyDescent="0.3">
      <c r="A21"/>
    </row>
    <row r="22" spans="1:1" x14ac:dyDescent="0.3">
      <c r="A22"/>
    </row>
    <row r="23" spans="1:1" x14ac:dyDescent="0.3">
      <c r="A23"/>
    </row>
    <row r="24" spans="1:1" x14ac:dyDescent="0.3">
      <c r="A24"/>
    </row>
    <row r="25" spans="1:1" x14ac:dyDescent="0.3">
      <c r="A25"/>
    </row>
    <row r="26" spans="1:1" x14ac:dyDescent="0.3">
      <c r="A26"/>
    </row>
    <row r="27" spans="1:1" x14ac:dyDescent="0.3">
      <c r="A27"/>
    </row>
    <row r="28" spans="1:1" x14ac:dyDescent="0.3">
      <c r="A28"/>
    </row>
    <row r="29" spans="1:1" x14ac:dyDescent="0.3">
      <c r="A29"/>
    </row>
    <row r="30" spans="1:1" x14ac:dyDescent="0.3">
      <c r="A30"/>
    </row>
    <row r="31" spans="1:1" x14ac:dyDescent="0.3">
      <c r="A31"/>
    </row>
    <row r="32" spans="1:1"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row r="39" spans="1:1" x14ac:dyDescent="0.3">
      <c r="A39"/>
    </row>
    <row r="40" spans="1:1" x14ac:dyDescent="0.3">
      <c r="A40"/>
    </row>
    <row r="41" spans="1:1" x14ac:dyDescent="0.3">
      <c r="A41"/>
    </row>
    <row r="42" spans="1:1" x14ac:dyDescent="0.3">
      <c r="A42"/>
    </row>
    <row r="43" spans="1:1" x14ac:dyDescent="0.3">
      <c r="A43"/>
    </row>
    <row r="44" spans="1:1" x14ac:dyDescent="0.3">
      <c r="A44"/>
    </row>
    <row r="45" spans="1:1" x14ac:dyDescent="0.3">
      <c r="A45"/>
    </row>
    <row r="46" spans="1:1" x14ac:dyDescent="0.3">
      <c r="A46"/>
    </row>
    <row r="47" spans="1:1" x14ac:dyDescent="0.3">
      <c r="A47"/>
    </row>
    <row r="48" spans="1:1"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81781-1A80-43F4-902E-F15EDE1331C9}">
  <dimension ref="A1:H5"/>
  <sheetViews>
    <sheetView workbookViewId="0">
      <selection activeCell="J24" sqref="J24"/>
    </sheetView>
  </sheetViews>
  <sheetFormatPr defaultRowHeight="14.4" x14ac:dyDescent="0.3"/>
  <cols>
    <col min="1" max="1" width="14.21875" bestFit="1" customWidth="1"/>
    <col min="2" max="2" width="13.21875" bestFit="1" customWidth="1"/>
    <col min="7" max="7" width="11.21875" customWidth="1"/>
  </cols>
  <sheetData>
    <row r="1" spans="1:8" x14ac:dyDescent="0.3">
      <c r="A1" s="18" t="s">
        <v>666</v>
      </c>
      <c r="B1" t="s">
        <v>669</v>
      </c>
    </row>
    <row r="2" spans="1:8" x14ac:dyDescent="0.3">
      <c r="A2" s="19" t="s">
        <v>26</v>
      </c>
      <c r="B2" s="12">
        <v>1877393.8699999999</v>
      </c>
    </row>
    <row r="3" spans="1:8" x14ac:dyDescent="0.3">
      <c r="A3" s="19" t="s">
        <v>36</v>
      </c>
      <c r="B3" s="12">
        <v>241421.96</v>
      </c>
    </row>
    <row r="4" spans="1:8" x14ac:dyDescent="0.3">
      <c r="A4" s="19" t="s">
        <v>47</v>
      </c>
      <c r="B4" s="12">
        <v>88704.34</v>
      </c>
      <c r="E4" t="s">
        <v>691</v>
      </c>
      <c r="H4" s="7" t="s">
        <v>26</v>
      </c>
    </row>
    <row r="5" spans="1:8" x14ac:dyDescent="0.3">
      <c r="A5" s="19" t="s">
        <v>667</v>
      </c>
      <c r="B5" s="12">
        <v>2207520.17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5FF6-CCD0-4F98-A921-320543AA5A25}">
  <dimension ref="A1:B22"/>
  <sheetViews>
    <sheetView workbookViewId="0">
      <selection activeCell="A22" sqref="A22"/>
    </sheetView>
  </sheetViews>
  <sheetFormatPr defaultRowHeight="14.4" x14ac:dyDescent="0.3"/>
  <cols>
    <col min="1" max="1" width="23.77734375" customWidth="1"/>
    <col min="2" max="2" width="33" customWidth="1"/>
  </cols>
  <sheetData>
    <row r="1" spans="1:2" x14ac:dyDescent="0.3">
      <c r="A1" s="5" t="s">
        <v>637</v>
      </c>
      <c r="B1" s="5" t="s">
        <v>638</v>
      </c>
    </row>
    <row r="2" spans="1:2" x14ac:dyDescent="0.3">
      <c r="A2" s="6" t="s">
        <v>0</v>
      </c>
      <c r="B2" s="6" t="s">
        <v>639</v>
      </c>
    </row>
    <row r="3" spans="1:2" x14ac:dyDescent="0.3">
      <c r="A3" s="6" t="s">
        <v>1</v>
      </c>
      <c r="B3" s="6" t="s">
        <v>640</v>
      </c>
    </row>
    <row r="4" spans="1:2" x14ac:dyDescent="0.3">
      <c r="A4" s="6" t="s">
        <v>2</v>
      </c>
      <c r="B4" s="6" t="s">
        <v>641</v>
      </c>
    </row>
    <row r="5" spans="1:2" x14ac:dyDescent="0.3">
      <c r="A5" s="6" t="s">
        <v>3</v>
      </c>
      <c r="B5" s="6" t="s">
        <v>642</v>
      </c>
    </row>
    <row r="6" spans="1:2" x14ac:dyDescent="0.3">
      <c r="A6" s="6" t="s">
        <v>4</v>
      </c>
      <c r="B6" s="6" t="s">
        <v>643</v>
      </c>
    </row>
    <row r="7" spans="1:2" x14ac:dyDescent="0.3">
      <c r="A7" s="6" t="s">
        <v>5</v>
      </c>
      <c r="B7" s="6" t="s">
        <v>644</v>
      </c>
    </row>
    <row r="8" spans="1:2" x14ac:dyDescent="0.3">
      <c r="A8" s="6" t="s">
        <v>6</v>
      </c>
      <c r="B8" s="6" t="s">
        <v>645</v>
      </c>
    </row>
    <row r="9" spans="1:2" x14ac:dyDescent="0.3">
      <c r="A9" s="6" t="s">
        <v>7</v>
      </c>
      <c r="B9" s="6" t="s">
        <v>646</v>
      </c>
    </row>
    <row r="10" spans="1:2" x14ac:dyDescent="0.3">
      <c r="A10" s="6" t="s">
        <v>8</v>
      </c>
      <c r="B10" s="6" t="s">
        <v>647</v>
      </c>
    </row>
    <row r="11" spans="1:2" x14ac:dyDescent="0.3">
      <c r="A11" s="6" t="s">
        <v>9</v>
      </c>
      <c r="B11" s="6" t="s">
        <v>648</v>
      </c>
    </row>
    <row r="12" spans="1:2" x14ac:dyDescent="0.3">
      <c r="A12" s="6" t="s">
        <v>10</v>
      </c>
      <c r="B12" s="6" t="s">
        <v>649</v>
      </c>
    </row>
    <row r="13" spans="1:2" x14ac:dyDescent="0.3">
      <c r="A13" s="6" t="s">
        <v>11</v>
      </c>
      <c r="B13" s="6" t="s">
        <v>650</v>
      </c>
    </row>
    <row r="14" spans="1:2" x14ac:dyDescent="0.3">
      <c r="A14" s="6" t="s">
        <v>12</v>
      </c>
      <c r="B14" s="6" t="s">
        <v>651</v>
      </c>
    </row>
    <row r="15" spans="1:2" x14ac:dyDescent="0.3">
      <c r="A15" s="6" t="s">
        <v>13</v>
      </c>
      <c r="B15" s="6" t="s">
        <v>652</v>
      </c>
    </row>
    <row r="16" spans="1:2" x14ac:dyDescent="0.3">
      <c r="A16" s="6" t="s">
        <v>14</v>
      </c>
      <c r="B16" s="6" t="s">
        <v>653</v>
      </c>
    </row>
    <row r="17" spans="1:2" x14ac:dyDescent="0.3">
      <c r="A17" s="6" t="s">
        <v>15</v>
      </c>
      <c r="B17" s="6" t="s">
        <v>654</v>
      </c>
    </row>
    <row r="18" spans="1:2" x14ac:dyDescent="0.3">
      <c r="A18" s="6" t="s">
        <v>16</v>
      </c>
      <c r="B18" s="6" t="s">
        <v>655</v>
      </c>
    </row>
    <row r="19" spans="1:2" x14ac:dyDescent="0.3">
      <c r="A19" s="6" t="s">
        <v>17</v>
      </c>
      <c r="B19" s="6" t="s">
        <v>656</v>
      </c>
    </row>
    <row r="21" spans="1:2" x14ac:dyDescent="0.3">
      <c r="A21" s="7" t="s">
        <v>657</v>
      </c>
    </row>
    <row r="22" spans="1:2" x14ac:dyDescent="0.3">
      <c r="A22" s="7" t="s">
        <v>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ecommerce_sales</vt:lpstr>
      <vt:lpstr>Raw_Sales_Data</vt:lpstr>
      <vt:lpstr>Clean_Data</vt:lpstr>
      <vt:lpstr>Pivot_Category</vt:lpstr>
      <vt:lpstr>Pivot_Region_Segment</vt:lpstr>
      <vt:lpstr>Pivot_Monthly_Trend</vt:lpstr>
      <vt:lpstr>Pivot_Profit_Category</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Kashvendra Kumar</cp:lastModifiedBy>
  <dcterms:created xsi:type="dcterms:W3CDTF">2026-06-13T07:51:03Z</dcterms:created>
  <dcterms:modified xsi:type="dcterms:W3CDTF">2026-06-13T16:38:55Z</dcterms:modified>
</cp:coreProperties>
</file>